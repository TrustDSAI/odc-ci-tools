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Vulnerabilities"/>
    <sheet r:id="rId2" sheetId="2" name="ODC-PivotTable"/>
    <sheet r:id="rId3" sheetId="3" name="Definitions"/>
    <sheet r:id="rId4" sheetId="4" name="patch_files_info"/>
    <sheet r:id="rId5" sheetId="5" name="patch_files_info_pt"/>
    <sheet r:id="rId6" sheetId="6" name="commit_num_files"/>
    <sheet r:id="rId7" sheetId="7" name="cve_title"/>
  </sheets>
  <definedNames>
    <definedName name="_xlnm._FilterDatabase" localSheetId="0">Vulnerabilities!$A$2:$H$268</definedName>
    <definedName name="cve_title_1" localSheetId="6">cve_title!$A$1:$B$164</definedName>
    <definedName name="patch_files_info" localSheetId="3">patch_files_info!$A$1:$G$706</definedName>
    <definedName name="relevant_vuln" localSheetId="0">Vulnerabilities!$A$3:$E$268</definedName>
  </definedNames>
  <calcPr fullCalcOnLoad="1"/>
</workbook>
</file>

<file path=xl/sharedStrings.xml><?xml version="1.0" encoding="utf-8"?>
<sst xmlns="http://schemas.openxmlformats.org/spreadsheetml/2006/main" count="5632" uniqueCount="1521">
  <si>
    <t>cve</t>
  </si>
  <si>
    <t>cve_title</t>
  </si>
  <si>
    <t>CVE-2008-0017</t>
  </si>
  <si>
    <t>The http-index-format MIME type parser (nsDirIndexParser) in Firefox 3.x before 3.0.4, Firefox 2.x before 2.0.0.18, and SeaMonkey 1.x before 1.1.13 does not check for an allocation failure, which allows remote attackers to cause a denial of service (crash) and possibly execute arbitrary code via an HTTP index response with a crafted 200 header, which triggers memory corruption and a buffer overflow.</t>
  </si>
  <si>
    <t>CVE-2009-2662</t>
  </si>
  <si>
    <t>The browser engine in Mozilla Firefox 3.5.x before 3.5.2 allows remote attackers to cause a denial of service (memory corruption and application crash) or possibly execute arbitrary code via vectors related to the TraceRecorder::snapshot function in js/src/jstracer.cpp, and unspecified other vectors.</t>
  </si>
  <si>
    <t>CVE-2010-0166</t>
  </si>
  <si>
    <t>The gfxTextRun::SanitizeGlyphRuns function in gfx/thebes/src/gfxFont.cpp in the browser engine in Mozilla Firefox 3.6 before 3.6.2 on Mac OS X, when the Core Text API is used, does not properly perform certain deletions, which allows remote attackers to cause a denial of service (memory corruption and application crash) and possibly execute arbitrary code via an HTML document containing invisible Unicode characters, as demonstrated by the U+FEFF, U+FFF9, U+FFFA, and U+FFFB characters.</t>
  </si>
  <si>
    <t>CVE-2010-1212</t>
  </si>
  <si>
    <t>js/src/jstracer.cpp in the browser engine in Mozilla Firefox 3.6.x before 3.6.7 and Thunderbird 3.1.x before 3.1.1 allows remote attackers to cause a denial of service (memory corruption and application crash) or possibly execute arbitrary code via vectors related to (1) propagation of deep aborts in the TraceRecorder::record_JSOP_BINDNAME function, (2) depth handling in the TraceRecorder::record_JSOP_GETELEM function, and (3) tracing of out-of-range arguments in the TraceRecorder::record_JSOP_ARGSUB function.</t>
  </si>
  <si>
    <t>CVE-2010-3166</t>
  </si>
  <si>
    <t>Heap-based buffer overflow in the nsTextFrameUtils::TransformText function in Mozilla Firefox before 3.5.12 and 3.6.x before 3.6.9, Thunderbird before 3.0.7 and 3.1.x before 3.1.3, and SeaMonkey before 2.0.7 might allow remote attackers to execute arbitrary code via a bidirectional text run.</t>
  </si>
  <si>
    <t>CVE-2010-3168</t>
  </si>
  <si>
    <t>Mozilla Firefox before 3.5.12 and 3.6.x before 3.6.9, Thunderbird before 3.0.7 and 3.1.x before 3.1.3, and SeaMonkey before 2.0.7 do not properly restrict the role of property changes in triggering XUL tree removal, which allows remote attackers to cause a denial of service (deleted memory access and application crash) or possibly execute arbitrary code by setting unspecified properties.</t>
  </si>
  <si>
    <t>CVE-2010-3778</t>
  </si>
  <si>
    <t>Unspecified vulnerability in Mozilla Firefox 3.5.x before 3.5.16, Thunderbird before 3.0.11, and SeaMonkey before 2.0.11 allows remote attackers to cause a denial of service (memory corruption and application crash) or possibly execute arbitrary code via unknown vectors.</t>
  </si>
  <si>
    <t>CVE-2011-0054</t>
  </si>
  <si>
    <t>Buffer overflow in the JavaScript engine in Mozilla Firefox before 3.5.17 and 3.6.x before 3.6.14, and SeaMonkey before 2.0.12, might allow remote attackers to execute arbitrary code via vectors involving non-local JavaScript variables, aka an "upvarMap" issue.</t>
  </si>
  <si>
    <t>CVE-2011-0061</t>
  </si>
  <si>
    <t>Buffer overflow in Mozilla Firefox 3.6.x before 3.6.14, Thunderbird before 3.1.8, and SeaMonkey before 2.0.12 might allow remote attackers to execute arbitrary code or cause a denial of service (application crash) via a crafted JPEG image.</t>
  </si>
  <si>
    <t>CVE-2011-2377</t>
  </si>
  <si>
    <t>Mozilla Firefox before 3.6.18 and 4.x through 4.0.1, Thunderbird before 3.1.11, and SeaMonkey through 2.0.14 allow remote attackers to cause a denial of service (memory corruption and application crash) or possibly execute arbitrary code via a multipart/x-mixed-replace image.</t>
  </si>
  <si>
    <t>CVE-2011-3002</t>
  </si>
  <si>
    <t>Almost Native Graphics Layer Engine (ANGLE), as used in Mozilla Firefox before 7.0 and SeaMonkey before 2.4, does not validate the return value of a GrowAtomTable function call, which allows remote attackers to cause a denial of service (application crash) or possibly execute arbitrary code via vectors that trigger a memory-allocation error and a resulting buffer overflow.</t>
  </si>
  <si>
    <t>CVE-2011-3003</t>
  </si>
  <si>
    <t>Mozilla Firefox before 7.0 and SeaMonkey before 2.4 allow remote attackers to cause a denial of service (application crash) or possibly execute arbitrary code via an unspecified WebGL test case that triggers a memory-allocation error and a resulting out-of-bounds write operation.</t>
  </si>
  <si>
    <t>CVE-2011-3005</t>
  </si>
  <si>
    <t>Use-after-free vulnerability in Mozilla Firefox 4.x through 6, Thunderbird before 7.0, and SeaMonkey before 2.4 allows remote attackers to cause a denial of service (application crash) or possibly execute arbitrary code via crafted OGG headers in a .ogg file.</t>
  </si>
  <si>
    <t>CVE-2011-3650</t>
  </si>
  <si>
    <t>Mozilla Firefox before 3.6.24 and 4.x through 7.0 and Thunderbird before 3.1.6 and 5.0 through 7.0 do not properly handle JavaScript files that contain many functions, which allows user-assisted remote attackers to cause a denial of service (memory corruption and application crash) or possibly have unspecified other impact via a crafted file that is accessed by debugging APIs, as demonstrated by Firebug.</t>
  </si>
  <si>
    <t>CVE-2011-3652</t>
  </si>
  <si>
    <t>The browser engine in Mozilla Firefox before 8.0 and Thunderbird before 8.0 does not properly allocate memory, which allows remote attackers to cause a denial of service (memory corruption and application crash) or possibly execute arbitrary code via unspecified vectors.</t>
  </si>
  <si>
    <t>CVE-2011-3654</t>
  </si>
  <si>
    <t>The browser engine in Mozilla Firefox before 8.0 and Thunderbird before 8.0 does not properly handle links from SVG mpath elements to non-SVG elements, which allows remote attackers to cause a denial of service (memory corruption and application crash) or possibly execute arbitrary code via unspecified vectors.</t>
  </si>
  <si>
    <t>CVE-2012-0470</t>
  </si>
  <si>
    <t>Heap-based buffer overflow in the nsSVGFEDiffuseLightingElement::LightPixel function in Mozilla Firefox 4.x through 11.0, Firefox ESR 10.x before 10.0.4, Thunderbird 5.0 through 11.0, Thunderbird ESR 10.x before 10.0.4, and SeaMonkey before 2.9 allows remote attackers to cause a denial of service (invalid gfxImageSurface free operation) or possibly execute arbitrary code by leveraging the use of "different number systems."</t>
  </si>
  <si>
    <t>CVE-2012-0472</t>
  </si>
  <si>
    <t>The cairo-dwrite implementation in Mozilla Firefox 4.x through 11.0, Firefox ESR 10.x before 10.0.4, Thunderbird 5.0 through 11.0, Thunderbird ESR 10.x before 10.0.4, and SeaMonkey before 2.9, when certain Windows Vista and Windows 7 configurations are used, does not properly restrict font-rendering attempts, which allows remote attackers to cause a denial of service (memory corruption) or possibly execute arbitrary code via unspecified vectors.</t>
  </si>
  <si>
    <t>CVE-2012-1953</t>
  </si>
  <si>
    <t>The ElementAnimations::EnsureStyleRuleFor function in Mozilla Firefox 4.x through 13.0, Firefox ESR 10.x before 10.0.6, Thunderbird 5.0 through 13.0, Thunderbird ESR 10.x before 10.0.6, and SeaMonkey before 2.11 allows remote attackers to cause a denial of service (buffer over-read, incorrect pointer dereference, and heap-based buffer overflow) or possibly execute arbitrary code via a crafted web site.</t>
  </si>
  <si>
    <t>CVE-2012-3105</t>
  </si>
  <si>
    <t>The glBufferData function in the WebGL implementation in Mozilla Firefox 4.x through 12.0, Firefox ESR 10.x before 10.0.5, Thunderbird 5.0 through 12.0, Thunderbird ESR 10.x before 10.0.5, and SeaMonkey before 2.10 does not properly mitigate an unspecified flaw in an NVIDIA driver, which allows remote attackers to cause a denial of service (memory corruption and application crash) or possibly execute arbitrary code via unknown vectors, a related issue to CVE-2011-3101.</t>
  </si>
  <si>
    <t>CVE-2012-3957</t>
  </si>
  <si>
    <t>Heap-based buffer overflow in the nsBlockFrame::MarkLineDirty function in Mozilla Firefox before 15.0, Firefox ESR 10.x before 10.0.7, Thunderbird before 15.0, Thunderbird ESR 10.x before 10.0.7, and SeaMonkey before 2.12 allows remote attackers to execute arbitrary code via unspecified vectors.</t>
  </si>
  <si>
    <t>CVE-2012-3966</t>
  </si>
  <si>
    <t>Mozilla Firefox before 15.0, Firefox ESR 10.x before 10.0.7, Thunderbird before 15.0, Thunderbird ESR 10.x before 10.0.7, and SeaMonkey before 2.12 allow remote attackers to execute arbitrary code or cause a denial of service (memory corruption) via a negative height value in a BMP image within a .ICO file, related to (1) improper handling of the transparency bitmask by the nsICODecoder component and (2) improper processing of the alpha channel by the nsBMPDecoder component.</t>
  </si>
  <si>
    <t>CVE-2012-3971</t>
  </si>
  <si>
    <t>Summer Institute of Linguistics (SIL) Graphite 2, as used in Mozilla Firefox before 15.0, Thunderbird before 15.0, and SeaMonkey before 2.12, allows remote attackers to execute arbitrary code or cause a denial of service (memory corruption) via vectors related to the (1) Silf::readClassMap and (2) Pass::readPass functions.</t>
  </si>
  <si>
    <t>CVE-2012-3995</t>
  </si>
  <si>
    <t>The IsCSSWordSpacingSpace function in Mozilla Firefox before 16.0, Firefox ESR 10.x before 10.0.8, Thunderbird before 16.0, Thunderbird ESR 10.x before 10.0.8, and SeaMonkey before 2.13 allows remote attackers to execute arbitrary code or cause a denial of service (out-of-bounds read) via unspecified vectors.</t>
  </si>
  <si>
    <t>CVE-2012-4180</t>
  </si>
  <si>
    <t>Heap-based buffer overflow in the nsHTMLEditor::IsPrevCharInNodeWhitespace function in Mozilla Firefox before 16.0, Firefox ESR 10.x before 10.0.8, Thunderbird before 16.0, Thunderbird ESR 10.x before 10.0.8, and SeaMonkey before 2.13 allows remote attackers to execute arbitrary code via unspecified vectors.</t>
  </si>
  <si>
    <t>CVE-2012-4185</t>
  </si>
  <si>
    <t>Buffer overflow in the nsCharTraits::length function in Mozilla Firefox before 16.0, Firefox ESR 10.x before 10.0.8, Thunderbird before 16.0, Thunderbird ESR 10.x before 10.0.8, and SeaMonkey before 2.13 allows remote attackers to execute arbitrary code or cause a denial of service (heap memory corruption) via unspecified vectors.</t>
  </si>
  <si>
    <t>CVE-2012-4186</t>
  </si>
  <si>
    <t>Heap-based buffer overflow in the nsWaveReader::DecodeAudioData function in Mozilla Firefox before 16.0, Firefox ESR 10.x before 10.0.8, Thunderbird before 16.0, Thunderbird ESR 10.x before 10.0.8, and SeaMonkey before 2.13 allows remote attackers to execute arbitrary code via unspecified vectors.</t>
  </si>
  <si>
    <t>CVE-2012-4187</t>
  </si>
  <si>
    <t>Mozilla Firefox before 16.0, Firefox ESR 10.x before 10.0.8, Thunderbird before 16.0, Thunderbird ESR 10.x before 10.0.8, and SeaMonkey before 2.13 do not properly manage a certain insPos variable, which allows remote attackers to execute arbitrary code or cause a denial of service (heap memory corruption and assertion failure) via unspecified vectors.</t>
  </si>
  <si>
    <t>CVE-2012-4188</t>
  </si>
  <si>
    <t>Heap-based buffer overflow in the Convolve3x3 function in Mozilla Firefox before 16.0, Firefox ESR 10.x before 10.0.8, Thunderbird before 16.0, Thunderbird ESR 10.x before 10.0.8, and SeaMonkey before 2.13 allows remote attackers to execute arbitrary code via unspecified vectors.</t>
  </si>
  <si>
    <t>CVE-2012-4190</t>
  </si>
  <si>
    <t>The FT2FontEntry::CreateFontEntry function in FreeType, as used in the Android build of Mozilla Firefox before 16.0.1 on CyanogenMod 10, allows remote attackers to cause a denial of service (memory corruption and application crash) or possibly execute arbitrary code via unspecified vectors.</t>
  </si>
  <si>
    <t>CVE-2012-4191</t>
  </si>
  <si>
    <t>The mozilla::net::FailDelayManager::Lookup function in the WebSockets implementation in Mozilla Firefox before 16.0.1, Thunderbird before 16.0.1, and SeaMonkey before 2.13.1 allows remote attackers to cause a denial of service (memory corruption and application crash) or possibly execute arbitrary code via unspecified vectors.</t>
  </si>
  <si>
    <t>CVE-2013-0760</t>
  </si>
  <si>
    <t>Buffer overflow in the CharDistributionAnalysis::HandleOneChar function in Mozilla Firefox before 18.0, Thunderbird before 17.0.2, and SeaMonkey before 2.15 allows remote attackers to execute arbitrary code via a crafted document.</t>
  </si>
  <si>
    <t>CVE-2013-0767</t>
  </si>
  <si>
    <t>The nsSVGPathElement::GetPathLengthScale function in Mozilla Firefox before 18.0, Firefox ESR 10.x before 10.0.12 and 17.x before 17.0.1, Thunderbird before 17.0.2, Thunderbird ESR 10.x before 10.0.12 and 17.x before 17.0.1, and SeaMonkey before 2.15 allows remote attackers to execute arbitrary code or cause a denial of service (out-of-bounds read) via unspecified vectors.</t>
  </si>
  <si>
    <t>CVE-2013-0771</t>
  </si>
  <si>
    <t>Heap-based buffer overflow in the gfxTextRun::ShrinkToLigatureBoundaries function in Mozilla Firefox before 18.0, Firefox ESR 17.x before 17.0.1, Thunderbird before 17.0.2, Thunderbird ESR 17.x before 17.0.1, and SeaMonkey before 2.15 allows remote attackers to execute arbitrary code via a crafted document.</t>
  </si>
  <si>
    <t>CVE-2013-0772</t>
  </si>
  <si>
    <t>The RasterImage::DrawFrameTo function in Mozilla Firefox before 19.0, Thunderbird before 17.0.3, and SeaMonkey before 2.16 allows remote attackers to obtain sensitive information from process memory or cause a denial of service (out-of-bounds read and application crash) via a crafted GIF image.</t>
  </si>
  <si>
    <t>CVE-2013-0778</t>
  </si>
  <si>
    <t>The ClusterIterator::NextCluster function in Mozilla Firefox before 19.0, Thunderbird before 17.0.3, and SeaMonkey before 2.16 allows remote attackers to execute arbitrary code or cause a denial of service (out-of-bounds read) via unspecified vectors.</t>
  </si>
  <si>
    <t>CVE-2013-0782</t>
  </si>
  <si>
    <t>Heap-based buffer overflow in the nsSaveAsCharset::DoCharsetConversion function in Mozilla Firefox before 19.0, Firefox ESR 17.x before 17.0.3, Thunderbird before 17.0.3, Thunderbird ESR 17.x before 17.0.3, and SeaMonkey before 2.16 allows remote attackers to execute arbitrary code via unspecified vectors.</t>
  </si>
  <si>
    <t>CVE-2013-0799</t>
  </si>
  <si>
    <t>Buffer overflow in the Mozilla Maintenance Service in Mozilla Firefox before 20.0, Firefox ESR 17.x before 17.0.5, Thunderbird before 17.0.5, and Thunderbird ESR 17.x before 17.0.5 on Windows allows local users to gain privileges via crafted arguments.</t>
  </si>
  <si>
    <t>CVE-2013-1675</t>
  </si>
  <si>
    <t>Mozilla Firefox before 21.0, Firefox ESR 17.x before 17.0.6, Thunderbird before 17.0.6, and Thunderbird ESR 17.x before 17.0.6 do not properly initialize data structures for the nsDOMSVGZoomEvent::mPreviousScale and nsDOMSVGZoomEvent::mNewScale functions, which allows remote attackers to obtain sensitive information from process memory via a crafted web site.</t>
  </si>
  <si>
    <t>CVE-2013-1680</t>
  </si>
  <si>
    <t>Use-after-free vulnerability in the nsFrameList::FirstChild function in Mozilla Firefox before 21.0, Firefox ESR 17.x before 17.0.6, Thunderbird before 17.0.6, and Thunderbird ESR 17.x before 17.0.6 allows remote attackers to execute arbitrary code or cause a denial of service (heap memory corruption) via unspecified vectors.</t>
  </si>
  <si>
    <t>CVE-2013-1690</t>
  </si>
  <si>
    <t>Mozilla Firefox before 22.0, Firefox ESR 17.x before 17.0.7, Thunderbird before 17.0.7, and Thunderbird ESR 17.x before 17.0.7 do not properly handle onreadystatechange events in conjunction with page reloading, which allows remote attackers to cause a denial of service (application crash) or possibly execute arbitrary code via a crafted web site that triggers an attempt to execute data at an unmapped memory location.</t>
  </si>
  <si>
    <t>CVE-2013-1706</t>
  </si>
  <si>
    <t>Stack-based buffer overflow in maintenanceservice.exe in the Mozilla Maintenance Service in Mozilla Firefox before 23.0, Firefox ESR 17.x before 17.0.8, Thunderbird before 17.0.8, and Thunderbird ESR 17.x before 17.0.8 allows local users to gain privileges via a long pathname on the command line.</t>
  </si>
  <si>
    <t>CVE-2013-1707</t>
  </si>
  <si>
    <t>Stack-based buffer overflow in Mozilla Updater in Mozilla Firefox before 23.0, Firefox ESR 17.x before 17.0.8, Thunderbird before 17.0.8, and Thunderbird ESR 17.x before 17.0.8 allows local users to gain privileges via a long pathname on the command line to the Mozilla Maintenance Service.</t>
  </si>
  <si>
    <t>CVE-2013-1721</t>
  </si>
  <si>
    <t>Integer overflow in the drawLineLoop function in the libGLESv2 library in Almost Native Graphics Layer Engine (ANGLE), as used in Mozilla Firefox before 24.0 and SeaMonkey before 2.21, allows remote attackers to execute arbitrary code via a crafted web site.</t>
  </si>
  <si>
    <t>CVE-2013-1723</t>
  </si>
  <si>
    <t>The NativeKey widget in Mozilla Firefox before 24.0, Thunderbird before 24.0, and SeaMonkey before 2.21 processes key messages after destruction by a dispatched event listener, which allows remote attackers to cause a denial of service (application crash) by leveraging incorrect event usage after widget-memory reallocation.</t>
  </si>
  <si>
    <t>CVE-2013-1732</t>
  </si>
  <si>
    <t>Buffer overflow in the nsFloatManager::GetFlowArea function in Mozilla Firefox before 24.0, Firefox ESR 17.x before 17.0.9, Thunderbird before 24.0, Thunderbird ESR 17.x before 17.0.9, and SeaMonkey before 2.21 allows remote attackers to execute arbitrary code via crafted use of lists and floats within a multi-column layout.</t>
  </si>
  <si>
    <t>CVE-2013-1736</t>
  </si>
  <si>
    <t>The nsGfxScrollFrameInner::IsLTR function in Mozilla Firefox before 24.0, Firefox ESR 17.x before 17.0.9, Thunderbird before 24.0, Thunderbird ESR 17.x before 17.0.9, and SeaMonkey before 2.21 allows remote attackers to execute arbitrary code or cause a denial of service (memory corruption) via vectors related to improperly establishing parent-child relationships of range-request nodes.</t>
  </si>
  <si>
    <t>CVE-2013-5596</t>
  </si>
  <si>
    <t>The cycle collection (CC) implementation in Mozilla Firefox before 25.0, Firefox ESR 24.x before 24.1, Thunderbird before 24.1, and SeaMonkey before 2.22 does not properly determine the thread for release of an image object, which allows remote attackers to execute arbitrary code or cause a denial of service (race condition and application crash) via a large HTML document containing IMG elements, as demonstrated by the Never-Ending Reddit on reddit.com.</t>
  </si>
  <si>
    <t>CVE-2013-5604</t>
  </si>
  <si>
    <t>The txXPathNodeUtils::getBaseURI function in the XSLT processor in Mozilla Firefox before 25.0, Firefox ESR 17.x before 17.0.10 and 24.x before 24.1, Thunderbird before 24.1, Thunderbird ESR 17.x before 17.0.10, and SeaMonkey before 2.22 does not properly initialize data, which allows remote attackers to execute arbitrary code or cause a denial of service (stack-based buffer overflow and application crash) via crafted documents.</t>
  </si>
  <si>
    <t>CVE-2014-1508</t>
  </si>
  <si>
    <t>The libxul.so!gfxContext::Polygon function in Mozilla Firefox before 28.0, Firefox ESR 24.x before 24.4, Thunderbird before 24.4, and SeaMonkey before 2.25 allows remote attackers to obtain sensitive information from process memory, cause a denial of service (out-of-bounds read and application crash), or possibly bypass the Same Origin Policy via vectors involving MathML polygon rendering.</t>
  </si>
  <si>
    <t>CVE-2014-1524</t>
  </si>
  <si>
    <t>The nsXBLProtoImpl::InstallImplementation function in Mozilla Firefox before 29.0, Firefox ESR 24.x before 24.5, Thunderbird before 24.5, and SeaMonkey before 2.26 does not properly check whether objects are XBL objects, which allows remote attackers to execute arbitrary code or cause a denial of service (buffer overflow) via crafted JavaScript code that accesses a non-XBL object as if it were an XBL object.</t>
  </si>
  <si>
    <t>CVE-2014-1528</t>
  </si>
  <si>
    <t>The sse2_composite_src_x888_8888 function in Pixman, as used in Cairo in Mozilla Firefox 28.0 and SeaMonkey 2.25 on Windows, allows remote attackers to execute arbitrary code or cause a denial of service (out-of-bounds write and application crash) by painting on a CANVAS element.</t>
  </si>
  <si>
    <t>CVE-2014-1543</t>
  </si>
  <si>
    <t>Multiple heap-based buffer overflows in the navigator.getGamepads function in the Gamepad API in Mozilla Firefox before 30.0 allow remote attackers to execute arbitrary code by using non-contiguous axes with a (1) physical or (2) virtual Gamepad device.</t>
  </si>
  <si>
    <t>CVE-2015-2716</t>
  </si>
  <si>
    <t>Buffer overflow in the XML parser in Mozilla Firefox before 38.0, Firefox ESR 31.x before 31.7, and Thunderbird before 31.7 allows remote attackers to execute arbitrary code by providing a large amount of compressed XML data, a related issue to CVE-2015-1283.</t>
  </si>
  <si>
    <t>CVE-2015-4487</t>
  </si>
  <si>
    <t>The nsTSubstring::ReplacePrep function in Mozilla Firefox before 40.0, Firefox ESR 38.x before 38.2, and Firefox OS before 2.2 might allow remote attackers to cause a denial of service (memory corruption) or possibly have unspecified other impact via unknown vectors, related to an "overflow."</t>
  </si>
  <si>
    <t>CVE-2015-4493</t>
  </si>
  <si>
    <t>Heap-based buffer overflow in the stagefright::ESDS::parseESDescriptor function in libstagefright in Mozilla Firefox before 40.0 and Firefox ESR 38.x before 38.2 allows remote attackers to execute arbitrary code via an invalid size field in an esds chunk in MPEG-4 video data, a related issue to CVE-2015-1539.</t>
  </si>
  <si>
    <t>CVE-2007-1592</t>
  </si>
  <si>
    <t>net/ipv6/tcp_ipv6.c in Linux kernel 2.6.x up to 2.6.21-rc3 inadvertently copies the ipv6_fl_socklist from a listening TCP socket to child sockets, which allows local users to cause a denial of service (OOPS) or double free by opening a listening IPv6 socket, attaching a flow label, and connecting to that socket.</t>
  </si>
  <si>
    <t>CVE-2007-5904</t>
  </si>
  <si>
    <t>Multiple buffer overflows in CIFS VFS in Linux kernel 2.6.23 and earlier allows remote attackers to cause a denial of service (crash) and possibly execute arbitrary code via long SMB responses that trigger the overflows in the SendReceive function.</t>
  </si>
  <si>
    <t>CVE-2007-6151</t>
  </si>
  <si>
    <t>The isdn_ioctl function in isdn_common.c in Linux kernel 2.6.23 allows local users to cause a denial of service via a crafted ioctl struct in which iocts is not null terminated, which triggers a buffer overflow.</t>
  </si>
  <si>
    <t>CVE-2008-3247</t>
  </si>
  <si>
    <t>The LDT implementation in the Linux kernel 2.6.25.x before 2.6.25.11 on x86_64 platforms uses an incorrect size for ldt_desc, which allows local users to cause a denial of service (system crash) or possibly gain privileges via unspecified vectors.</t>
  </si>
  <si>
    <t>CVE-2008-3911</t>
  </si>
  <si>
    <t>The proc_do_xprt function in net/sunrpc/sysctl.c in the Linux kernel 2.6.26.3 does not check the length of a certain buffer obtained from userspace, which allows local users to overflow a stack-based buffer and have unspecified other impact via a crafted read system call for the /proc/sys/sunrpc/transports file.</t>
  </si>
  <si>
    <t>CVE-2008-3915</t>
  </si>
  <si>
    <t>Buffer overflow in nfsd in the Linux kernel before 2.6.26.4, when NFSv4 is enabled, allows remote attackers to have an unknown impact via vectors related to decoding an NFSv4 acl.</t>
  </si>
  <si>
    <t>CVE-2008-4395</t>
  </si>
  <si>
    <t>Multiple buffer overflows in the ndiswrapper module 1.53 for the Linux kernel 2.6 allow remote attackers to execute arbitrary code by sending packets over a local wireless network that specify long ESSIDs.</t>
  </si>
  <si>
    <t>CVE-2008-4933</t>
  </si>
  <si>
    <t>Buffer overflow in the hfsplus_find_cat function in fs/hfsplus/catalog.c in the Linux kernel before 2.6.28-rc1 allows attackers to cause a denial of service (memory corruption or system crash) via an hfsplus filesystem image with an invalid catalog namelength field, related to the hfsplus_cat_build_key_uni function.</t>
  </si>
  <si>
    <t>CVE-2008-5025</t>
  </si>
  <si>
    <t>Stack-based buffer overflow in the hfs_cat_find_brec function in fs/hfs/catalog.c in the Linux kernel before 2.6.28-rc1 allows attackers to cause a denial of service (memory corruption or system crash) via an hfs filesystem image with an invalid catalog namelength field, a related issue to CVE-2008-4933.</t>
  </si>
  <si>
    <t>CVE-2008-5134</t>
  </si>
  <si>
    <t>Buffer overflow in the lbs_process_bss function in drivers/net/wireless/libertas/scan.c in the libertas subsystem in the Linux kernel before 2.6.27.5 allows remote attackers to have an unknown impact via an "invalid beacon/probe response."</t>
  </si>
  <si>
    <t>CVE-2008-5395</t>
  </si>
  <si>
    <t>The parisc_show_stack function in arch/parisc/kernel/traps.c in the Linux kernel before 2.6.28-rc7 on PA-RISC allows local users to cause a denial of service (system crash) via vectors associated with an attempt to unwind a stack that contains userspace addresses.</t>
  </si>
  <si>
    <t>CVE-2008-5702</t>
  </si>
  <si>
    <t>Buffer underflow in the ibwdt_ioctl function in drivers/watchdog/ib700wdt.c in the Linux kernel before 2.6.28-rc1 might allow local users to have an unknown impact via a certain /dev/watchdog WDIOC_SETTIMEOUT IOCTL call.</t>
  </si>
  <si>
    <t>CVE-2009-0065</t>
  </si>
  <si>
    <t>Buffer overflow in net/sctp/sm_statefuns.c in the Stream Control Transmission Protocol (sctp) implementation in the Linux kernel before 2.6.28-git8 allows remote attackers to have an unknown impact via an FWD-TSN (aka FORWARD-TSN) chunk with a large stream ID.</t>
  </si>
  <si>
    <t>CVE-2009-0605</t>
  </si>
  <si>
    <t>Stack consumption vulnerability in the do_page_fault function in arch/x86/mm/fault.c in the Linux kernel before 2.6.28.5 allows local users to cause a denial of service (memory corruption) or possibly gain privileges via unspecified vectors that trigger page faults on a machine that has a registered Kprobes probe.</t>
  </si>
  <si>
    <t>CVE-2009-1298</t>
  </si>
  <si>
    <t>The ip_frag_reasm function in net/ipv4/ip_fragment.c in the Linux kernel 2.6.32-rc8, and 2.6.29 and later versions before 2.6.32, calls IP_INC_STATS_BH with an incorrect argument, which allows remote attackers to cause a denial of service (NULL pointer dereference and hang) via long IP packets, possibly related to the ip_defrag function.</t>
  </si>
  <si>
    <t>CVE-2009-1389</t>
  </si>
  <si>
    <t>Buffer overflow in the RTL8169 NIC driver (drivers/net/r8169.c) in the Linux kernel before 2.6.30 allows remote attackers to cause a denial of service (kernel memory corruption and crash) via a long packet.</t>
  </si>
  <si>
    <t>CVE-2009-1439</t>
  </si>
  <si>
    <t>Buffer overflow in fs/cifs/connect.c in CIFS in the Linux kernel 2.6.29 and earlier allows remote attackers to cause a denial of service (crash) via a long nativeFileSystem field in a Tree Connect response to an SMB mount request.</t>
  </si>
  <si>
    <t>CVE-2009-1897</t>
  </si>
  <si>
    <t>The tun_chr_poll function in drivers/net/tun.c in the tun subsystem in the Linux kernel 2.6.30 and 2.6.30.1, when the -fno-delete-null-pointer-checks gcc option is omitted, allows local users to gain privileges via vectors involving a NULL pointer dereference and an mmap of /dev/net/tun, a different vulnerability than CVE-2009-1894.</t>
  </si>
  <si>
    <t>CVE-2009-2406</t>
  </si>
  <si>
    <t>Stack-based buffer overflow in the parse_tag_11_packet function in fs/ecryptfs/keystore.c in the eCryptfs subsystem in the Linux kernel before 2.6.30.4 allows local users to cause a denial of service (system crash) or possibly gain privileges via vectors involving a crafted eCryptfs file, related to not ensuring that the key signature length in a Tag 11 packet is compatible with the key signature buffer size.</t>
  </si>
  <si>
    <t>CVE-2009-2407</t>
  </si>
  <si>
    <t>Heap-based buffer overflow in the parse_tag_3_packet function in fs/ecryptfs/keystore.c in the eCryptfs subsystem in the Linux kernel before 2.6.30.4 allows local users to cause a denial of service (system crash) or possibly gain privileges via vectors involving a crafted eCryptfs file, related to a large encrypted key size in a Tag 3 packet.</t>
  </si>
  <si>
    <t>CVE-2009-2767</t>
  </si>
  <si>
    <t>The init_posix_timers function in kernel/posix-timers.c in the Linux kernel before 2.6.31-rc6 allows local users to cause a denial of service (OOPS) or possibly gain privileges via a CLOCK_MONOTONIC_RAW clock_nanosleep call that triggers a NULL pointer dereference.</t>
  </si>
  <si>
    <t>CVE-2009-2768</t>
  </si>
  <si>
    <t>The load_flat_shared_library function in fs/binfmt_flat.c in the flat subsystem in the Linux kernel before 2.6.31-rc6 allows local users to cause a denial of service (NULL pointer dereference and system crash) or possibly have unspecified other impact by executing a shared flat binary, which triggers an access of an "uninitialized cred pointer."</t>
  </si>
  <si>
    <t>CVE-2009-3280</t>
  </si>
  <si>
    <t>Integer signedness error in the find_ie function in net/wireless/scan.c in the cfg80211 subsystem in the Linux kernel before 2.6.31.1-rc1 allows remote attackers to cause a denial of service (soft lockup) via malformed packets.</t>
  </si>
  <si>
    <t>CVE-2009-4004</t>
  </si>
  <si>
    <t>Buffer overflow in the kvm_vcpu_ioctl_x86_setup_mce function in arch/x86/kvm/x86.c in the KVM subsystem in the Linux kernel before 2.6.32-rc7 allows local users to cause a denial of service (memory corruption) or possibly gain privileges via a KVM_X86_SETUP_MCE IOCTL request that specifies a large number of Machine Check Exception (MCE) banks.</t>
  </si>
  <si>
    <t>CVE-2009-4005</t>
  </si>
  <si>
    <t>The collect_rx_frame function in drivers/isdn/hisax/hfc_usb.c in the Linux kernel before 2.6.32-rc7 allows attackers to have an unspecified impact via a crafted HDLC packet that arrives over ISDN and triggers a buffer under-read.</t>
  </si>
  <si>
    <t>CVE-2010-1084</t>
  </si>
  <si>
    <t>Linux kernel 2.6.18 through 2.6.33, and possibly other versions, allows remote attackers to cause a denial of service (memory corruption) via a large number of Bluetooth sockets, related to the size of sysfs files in (1) net/bluetooth/l2cap.c, (2) net/bluetooth/rfcomm/core.c, (3) net/bluetooth/rfcomm/sock.c, and (4) net/bluetooth/sco.c.</t>
  </si>
  <si>
    <t>CVE-2010-2492</t>
  </si>
  <si>
    <t>Buffer overflow in the ecryptfs_uid_hash macro in fs/ecryptfs/messaging.c in the eCryptfs subsystem in the Linux kernel before 2.6.35 might allow local users to gain privileges or cause a denial of service (system crash) via unspecified vectors.</t>
  </si>
  <si>
    <t>CVE-2010-2521</t>
  </si>
  <si>
    <t>Multiple buffer overflows in fs/nfsd/nfs4xdr.c in the XDR implementation in the NFS server in the Linux kernel before 2.6.34-rc6 allow remote attackers to cause a denial of service (panic) or possibly execute arbitrary code via a crafted NFSv4 compound WRITE request, related to the read_buf and nfsd4_decode_compound functions.</t>
  </si>
  <si>
    <t>CVE-2010-3081</t>
  </si>
  <si>
    <t>The compat_alloc_user_space functions in include/asm/compat.h files in the Linux kernel before 2.6.36-rc4-git2 on 64-bit platforms do not properly allocate the userspace memory required for the 32-bit compatibility layer, which allows local users to gain privileges by leveraging the ability of the compat_mc_getsockopt function (aka the MCAST_MSFILTER getsockopt support) to control a certain length value, related to a "stack pointer underflow" issue, as exploited in the wild in September 2010.</t>
  </si>
  <si>
    <t>CVE-2010-3084</t>
  </si>
  <si>
    <t>Buffer overflow in the niu_get_ethtool_tcam_all function in drivers/net/niu.c in the Linux kernel before 2.6.36-rc4 allows local users to cause a denial of service or possibly have unspecified other impact via the ETHTOOL_GRXCLSRLALL ethtool command.</t>
  </si>
  <si>
    <t>CVE-2010-3848</t>
  </si>
  <si>
    <t>Stack-based buffer overflow in the econet_sendmsg function in net/econet/af_econet.c in the Linux kernel before 2.6.36.2, when an econet address is configured, allows local users to gain privileges by providing a large number of iovec structures.</t>
  </si>
  <si>
    <t>CVE-2010-3874</t>
  </si>
  <si>
    <t>Heap-based buffer overflow in the bcm_connect function in net/can/bcm.c (aka the Broadcast Manager) in the Controller Area Network (CAN) implementation in the Linux kernel before 2.6.36.2 on 64-bit platforms might allow local users to cause a denial of service (memory corruption) via a connect operation.</t>
  </si>
  <si>
    <t>CVE-2010-4527</t>
  </si>
  <si>
    <t>The load_mixer_volumes function in sound/oss/soundcard.c in the OSS sound subsystem in the Linux kernel before 2.6.37 incorrectly expects that a certain name field ends with a '\0' character, which allows local users to conduct buffer overflow attacks and gain privileges, or possibly obtain sensitive information from kernel memory, via a SOUND_MIXER_SETLEVELS ioctl call.</t>
  </si>
  <si>
    <t>CVE-2010-4650</t>
  </si>
  <si>
    <t>Buffer overflow in the fuse_do_ioctl function in fs/fuse/file.c in the Linux kernel before 2.6.37 allows local users to cause a denial of service or possibly have unspecified other impact by leveraging the ability to operate a CUSE server.</t>
  </si>
  <si>
    <t>CVE-2010-4656</t>
  </si>
  <si>
    <t>The iowarrior_write function in drivers/usb/misc/iowarrior.c in the Linux kernel before 2.6.37 does not properly allocate memory, which might allow local users to trigger a heap-based buffer overflow, and consequently cause a denial of service or gain privileges, via a long report.</t>
  </si>
  <si>
    <t>CVE-2011-0712</t>
  </si>
  <si>
    <t>Multiple buffer overflows in the caiaq Native Instruments USB audio functionality in the Linux kernel before 2.6.38-rc4-next-20110215 might allow attackers to cause a denial of service or possibly have unspecified other impact via a long USB device name, related to (1) the snd_usb_caiaq_audio_init function in sound/usb/caiaq/audio.c and (2) the snd_usb_caiaq_midi_init function in sound/usb/caiaq/midi.c.</t>
  </si>
  <si>
    <t>CVE-2011-1010</t>
  </si>
  <si>
    <t>Buffer overflow in the mac_partition function in fs/partitions/mac.c in the Linux kernel before 2.6.37.2 allows local users to cause a denial of service (panic) or possibly have unspecified other impact via a malformed Mac OS partition table.</t>
  </si>
  <si>
    <t>CVE-2011-1044</t>
  </si>
  <si>
    <t>The ib_uverbs_poll_cq function in drivers/infiniband/core/uverbs_cmd.c in the Linux kernel before 2.6.37 does not initialize a certain response buffer, which allows local users to obtain potentially sensitive information from kernel memory via vectors that cause this buffer to be only partially filled, a different vulnerability than CVE-2010-4649.</t>
  </si>
  <si>
    <t>CVE-2011-1180</t>
  </si>
  <si>
    <t>Multiple stack-based buffer overflows in the iriap_getvaluebyclass_indication function in net/irda/iriap.c in the Linux kernel before 2.6.39 allow remote attackers to cause a denial of service (memory corruption) or possibly have unspecified other impact by leveraging connectivity to an IrDA infrared network and sending a large integer value for a (1) name length or (2) attribute length.</t>
  </si>
  <si>
    <t>CVE-2011-1477</t>
  </si>
  <si>
    <t>Multiple array index errors in sound/oss/opl3.c in the Linux kernel before 2.6.39 allow local users to cause a denial of service (heap memory corruption) or possibly gain privileges by leveraging write access to /dev/sequencer.</t>
  </si>
  <si>
    <t>CVE-2011-1776</t>
  </si>
  <si>
    <t>The is_gpt_valid function in fs/partitions/efi.c in the Linux kernel before 2.6.39 does not check the size of an Extensible Firmware Interface (EFI) GUID Partition Table (GPT) entry, which allows physically proximate attackers to cause a denial of service (heap-based buffer overflow and OOPS) or obtain sensitive information from kernel heap memory by connecting a crafted GPT storage device, a different vulnerability than CVE-2011-1577.</t>
  </si>
  <si>
    <t>CVE-2011-2182</t>
  </si>
  <si>
    <t>The ldm_frag_add function in fs/partitions/ldm.c in the Linux kernel before 2.6.39.1 does not properly handle memory allocation for non-initial fragments, which might allow local users to conduct buffer overflow attacks, and gain privileges or obtain sensitive information, via a crafted LDM partition table.  NOTE: this vulnerability exists because of an incomplete fix for CVE-2011-1017.</t>
  </si>
  <si>
    <t>CVE-2011-2517</t>
  </si>
  <si>
    <t>Multiple buffer overflows in net/wireless/nl80211.c in the Linux kernel before 2.6.39.2 allow local users to gain privileges by leveraging the CAP_NET_ADMIN capability during scan operations with a long SSID value.</t>
  </si>
  <si>
    <t>CVE-2011-2534</t>
  </si>
  <si>
    <t>Buffer overflow in the clusterip_proc_write function in net/ipv4/netfilter/ipt_CLUSTERIP.c in the Linux kernel before 2.6.39 might allow local users to cause a denial of service or have unspecified other impact via a crafted write operation, related to string data that lacks a terminating '\0' character.</t>
  </si>
  <si>
    <t>CVE-2011-2700</t>
  </si>
  <si>
    <t>Multiple buffer overflows in the si4713_write_econtrol_string function in drivers/media/radio/si4713-i2c.c in the Linux kernel before 2.6.39.4 on the N900 platform might allow local users to cause a denial of service or have unspecified other impact via a crafted s_ext_ctrls operation with a (1) V4L2_CID_RDS_TX_PS_NAME or (2) V4L2_CID_RDS_TX_RADIO_TEXT control ID.</t>
  </si>
  <si>
    <t>CVE-2011-3353</t>
  </si>
  <si>
    <t>Buffer overflow in the fuse_notify_inval_entry function in fs/fuse/dev.c in the Linux kernel before 3.1 allows local users to cause a denial of service (BUG_ON and system crash) by leveraging the ability to mount a FUSE filesystem.</t>
  </si>
  <si>
    <t>CVE-2011-3359</t>
  </si>
  <si>
    <t>The dma_rx function in drivers/net/wireless/b43/dma.c in the Linux kernel before 2.6.39 does not properly allocate receive buffers, which allows remote attackers to cause a denial of service (system crash) via a crafted frame.</t>
  </si>
  <si>
    <t>CVE-2011-4086</t>
  </si>
  <si>
    <t>The journal_unmap_buffer function in fs/jbd2/transaction.c in the Linux kernel before 3.3.1 does not properly handle the _Delay and _Unwritten buffer head states, which allows local users to cause a denial of service (system crash) by leveraging the presence of an ext4 filesystem that was mounted with a journal.</t>
  </si>
  <si>
    <t>CVE-2011-4098</t>
  </si>
  <si>
    <t>The fallocate implementation in the GFS2 filesystem in the Linux kernel before 3.2 relies on the page cache, which might allow local users to cause a denial of service by preallocating blocks in certain situations involving insufficient memory.</t>
  </si>
  <si>
    <t>CVE-2011-4604</t>
  </si>
  <si>
    <t>The bat_socket_read function in net/batman-adv/icmp_socket.c in the Linux kernel before 3.3 allows remote attackers to cause a denial of service (memory corruption) or possibly have unspecified other impact via a crafted batman-adv ICMP packet.</t>
  </si>
  <si>
    <t>CVE-2012-2119</t>
  </si>
  <si>
    <t>Buffer overflow in the macvtap device driver in the Linux kernel before 3.4.5, when running in certain configurations, allows privileged KVM guest users to cause a denial of service (crash) via a long descriptor with a long vector length.</t>
  </si>
  <si>
    <t>CVE-2012-2127</t>
  </si>
  <si>
    <t>fs/proc/root.c in the procfs implementation in the Linux kernel before 3.2 does not properly interact with CLONE_NEWPID clone system calls, which allows remote attackers to cause a denial of service (reference leak and memory consumption) by making many connections to a daemon that uses PID namespaces to isolate clients, as demonstrated by vsftpd.</t>
  </si>
  <si>
    <t>CVE-2012-2137</t>
  </si>
  <si>
    <t>Buffer overflow in virt/kvm/irq_comm.c in the KVM subsystem in the Linux kernel before 3.2.24 allows local users to cause a denial of service (crash) and possibly execute arbitrary code via vectors related to Message Signaled Interrupts (MSI), irq routing entries, and an incorrect check by the setup_routing_entry function before invoking the kvm_set_irq function.</t>
  </si>
  <si>
    <t>CVE-2012-2745</t>
  </si>
  <si>
    <t>The copy_creds function in kernel/cred.c in the Linux kernel before 3.3.2 provides an invalid replacement session keyring to a child process, which allows local users to cause a denial of service (panic) via a crafted application that uses the fork system call.</t>
  </si>
  <si>
    <t>CVE-2012-3364</t>
  </si>
  <si>
    <t>Multiple stack-based buffer overflows in the Near Field Communication Controller Interface (NCI) in the Linux kernel before 3.4.5 allow remote attackers to cause a denial of service (crash) and possibly execute arbitrary code via incoming frames with crafted length fields.</t>
  </si>
  <si>
    <t>CVE-2013-0309</t>
  </si>
  <si>
    <t>arch/x86/include/asm/pgtable.h in the Linux kernel before 3.6.2, when transparent huge pages are used, does not properly support PROT_NONE memory regions, which allows local users to cause a denial of service (system crash) via a crafted application.</t>
  </si>
  <si>
    <t>CVE-2013-0310</t>
  </si>
  <si>
    <t>The cipso_v4_validate function in net/ipv4/cipso_ipv4.c in the Linux kernel before 3.4.8 allows local users to cause a denial of service (NULL pointer dereference and system crash) or possibly have unspecified other impact via an IPOPT_CIPSO IP_OPTIONS setsockopt system call.</t>
  </si>
  <si>
    <t>CVE-2013-1772</t>
  </si>
  <si>
    <t>The log_prefix function in kernel/printk.c in the Linux kernel 3.x before 3.4.33 does not properly remove a prefix string from a syslog header, which allows local users to cause a denial of service (buffer overflow and system crash) by leveraging /dev/kmsg write access and triggering a call_console_drivers function call.</t>
  </si>
  <si>
    <t>CVE-2013-1773</t>
  </si>
  <si>
    <t>Buffer overflow in the VFAT filesystem implementation in the Linux kernel before 3.3 allows local users to gain privileges or cause a denial of service (system crash) via a VFAT write operation on a filesystem with the utf8 mount option, which is not properly handled during UTF-8 to UTF-16 conversion.</t>
  </si>
  <si>
    <t>CVE-2013-1796</t>
  </si>
  <si>
    <t>The kvm_set_msr_common function in arch/x86/kvm/x86.c in the Linux kernel through 3.8.4 does not ensure a required time_page alignment during an MSR_KVM_SYSTEM_TIME operation, which allows guest OS users to cause a denial of service (buffer overflow and host OS memory corruption) or possibly have unspecified other impact via a crafted application.</t>
  </si>
  <si>
    <t>CVE-2013-1860</t>
  </si>
  <si>
    <t>Heap-based buffer overflow in the wdm_in_callback function in drivers/usb/class/cdc-wdm.c in the Linux kernel before 3.8.4 allows physically proximate attackers to cause a denial of service (system crash) or possibly execute arbitrary code via a crafted cdc-wdm USB device.</t>
  </si>
  <si>
    <t>CVE-2013-1929</t>
  </si>
  <si>
    <t>Heap-based buffer overflow in the tg3_read_vpd function in drivers/net/ethernet/broadcom/tg3.c in the Linux kernel before 3.8.6 allows physically proximate attackers to cause a denial of service (system crash) or possibly execute arbitrary code via crafted firmware that specifies a long string in the Vital Product Data (VPD) data structure.</t>
  </si>
  <si>
    <t>CVE-2013-2058</t>
  </si>
  <si>
    <t>The host_start function in drivers/usb/chipidea/host.c in the Linux kernel before 3.7.4 does not properly support a certain non-streaming option, which allows local users to cause a denial of service (system crash) by sending a large amount of network traffic through a USB/Ethernet adapter.</t>
  </si>
  <si>
    <t>CVE-2013-2128</t>
  </si>
  <si>
    <t>The tcp_read_sock function in net/ipv4/tcp.c in the Linux kernel before 2.6.34 does not properly manage skb consumption, which allows local users to cause a denial of service (system crash) via a crafted splice system call for a TCP socket.</t>
  </si>
  <si>
    <t>CVE-2013-2234</t>
  </si>
  <si>
    <t>The (1) key_notify_sa_flush and (2) key_notify_policy_flush functions in net/key/af_key.c in the Linux kernel before 3.10 do not initialize certain structure members, which allows local users to obtain sensitive information from kernel heap memory by reading a broadcast message from the notify interface of an IPSec key_socket.</t>
  </si>
  <si>
    <t>CVE-2013-2237</t>
  </si>
  <si>
    <t>The key_notify_policy_flush function in net/key/af_key.c in the Linux kernel before 3.9 does not initialize a certain structure member, which allows local users to obtain sensitive information from kernel heap memory by reading a broadcast message from the notify_policy interface of an IPSec key_socket.</t>
  </si>
  <si>
    <t>CVE-2013-2850</t>
  </si>
  <si>
    <t>Heap-based buffer overflow in the iscsi_add_notunderstood_response function in drivers/target/iscsi/iscsi_target_parameters.c in the iSCSI target subsystem in the Linux kernel through 3.9.4 allows remote attackers to cause a denial of service (memory corruption and OOPS) or possibly execute arbitrary code via a long key that is not properly handled during construction of an error-response packet.</t>
  </si>
  <si>
    <t>CVE-2013-4312</t>
  </si>
  <si>
    <t>The Linux kernel before 4.4.1 allows local users to bypass file-descriptor limits and cause a denial of service (memory consumption) by sending each descriptor over a UNIX socket before closing it, related to net/unix/af_unix.c and net/unix/garbage.c.</t>
  </si>
  <si>
    <t>CVE-2013-4387</t>
  </si>
  <si>
    <t>net/ipv6/ip6_output.c in the Linux kernel through 3.11.4 does not properly determine the need for UDP Fragmentation Offload (UFO) processing of small packets after the UFO queueing of a large packet, which allows remote attackers to cause a denial of service (memory corruption and system crash) or possibly have unspecified other impact via network traffic that triggers a large response packet.</t>
  </si>
  <si>
    <t>CVE-2013-4512</t>
  </si>
  <si>
    <t>Buffer overflow in the exitcode_proc_write function in arch/um/kernel/exitcode.c in the Linux kernel before 3.12 allows local users to cause a denial of service or possibly have unspecified other impact by leveraging root privileges for a write operation.</t>
  </si>
  <si>
    <t>CVE-2013-4513</t>
  </si>
  <si>
    <t>Buffer overflow in the oz_cdev_write function in drivers/staging/ozwpan/ozcdev.c in the Linux kernel before 3.12 allows local users to cause a denial of service or possibly have unspecified other impact via a crafted write operation.</t>
  </si>
  <si>
    <t>CVE-2013-4514</t>
  </si>
  <si>
    <t>Multiple buffer overflows in drivers/staging/wlags49_h2/wl_priv.c in the Linux kernel before 3.12 allow local users to cause a denial of service or possibly have unspecified other impact by leveraging the CAP_NET_ADMIN capability and providing a long station-name string, related to the (1) wvlan_uil_put_info and (2) wvlan_set_station_nickname functions.</t>
  </si>
  <si>
    <t>CVE-2013-4588</t>
  </si>
  <si>
    <t>Multiple stack-based buffer overflows in net/netfilter/ipvs/ip_vs_ctl.c in the Linux kernel before 2.6.33, when CONFIG_IP_VS is used, allow local users to gain privileges by leveraging the CAP_NET_ADMIN capability for (1) a getsockopt system call, related to the do_ip_vs_get_ctl function, or (2) a setsockopt system call, related to the do_ip_vs_set_ctl function.</t>
  </si>
  <si>
    <t>CVE-2013-4591</t>
  </si>
  <si>
    <t>Buffer overflow in the __nfs4_get_acl_uncached function in fs/nfs/nfs4proc.c in the Linux kernel before 3.7.2 allows local users to cause a denial of service (memory corruption and system crash) or possibly have unspecified other impact via a getxattr system call for the system.nfs4_acl extended attribute of a pathname on an NFSv4 filesystem.</t>
  </si>
  <si>
    <t>CVE-2013-6381</t>
  </si>
  <si>
    <t>Buffer overflow in the qeth_snmp_command function in drivers/s390/net/qeth_core_main.c in the Linux kernel through 3.12.1 allows local users to cause a denial of service or possibly have unspecified other impact via an SNMP ioctl call with a length value that is incompatible with the command-buffer size.</t>
  </si>
  <si>
    <t>CVE-2013-6763</t>
  </si>
  <si>
    <t>The uio_mmap_physical function in drivers/uio/uio.c in the Linux kernel before 3.12 does not validate the size of a memory block, which allows local users to cause a denial of service (memory corruption) or possibly gain privileges via crafted mmap operations, a different vulnerability than CVE-2013-4511.</t>
  </si>
  <si>
    <t>CVE-2013-7027</t>
  </si>
  <si>
    <t>The ieee80211_radiotap_iterator_init function in net/wireless/radiotap.c in the Linux kernel before 3.11.7 does not check whether a frame contains any data outside of the header, which might allow attackers to cause a denial of service (buffer over-read) via a crafted header.</t>
  </si>
  <si>
    <t>CVE-2014-0049</t>
  </si>
  <si>
    <t>Buffer overflow in the complete_emulated_mmio function in arch/x86/kvm/x86.c in the Linux kernel before 3.13.6 allows guest OS users to execute arbitrary code on the host OS by leveraging a loop that triggers an invalid memory copy affecting certain cancel_work_item data.</t>
  </si>
  <si>
    <t>CVE-2014-0069</t>
  </si>
  <si>
    <t>The cifs_iovec_write function in fs/cifs/file.c in the Linux kernel through 3.13.5 does not properly handle uncached write operations that copy fewer than the requested number of bytes, which allows local users to obtain sensitive information from kernel memory, cause a denial of service (memory corruption and system crash), or possibly gain privileges via a writev system call with a crafted pointer.</t>
  </si>
  <si>
    <t>CVE-2014-0205</t>
  </si>
  <si>
    <t>The futex_wait function in kernel/futex.c in the Linux kernel before 2.6.37 does not properly maintain a certain reference count during requeue operations, which allows local users to cause a denial of service (use-after-free and system crash) or possibly gain privileges via a crafted application that triggers a zero count.</t>
  </si>
  <si>
    <t>CVE-2014-1690</t>
  </si>
  <si>
    <t>The help function in net/netfilter/nf_nat_irc.c in the Linux kernel before 3.12.8 allows remote attackers to obtain sensitive information from kernel memory by establishing an IRC DCC session in which incorrect packet data is transmitted during use of the NAT mangle feature.</t>
  </si>
  <si>
    <t>CVE-2014-3181</t>
  </si>
  <si>
    <t>Multiple stack-based buffer overflows in the magicmouse_raw_event function in drivers/hid/hid-magicmouse.c in the Magic Mouse HID driver in the Linux kernel through 3.16.3 allow physically proximate attackers to cause a denial of service (system crash) or possibly execute arbitrary code via a crafted device that provides a large amount of (1) EHCI or (2) XHCI data associated with an event.</t>
  </si>
  <si>
    <t>CVE-2014-3182</t>
  </si>
  <si>
    <t>Array index error in the logi_dj_raw_event function in drivers/hid/hid-logitech-dj.c in the Linux kernel before 3.16.2 allows physically proximate attackers to execute arbitrary code or cause a denial of service (invalid kfree) via a crafted device that provides a malformed REPORT_TYPE_NOTIF_DEVICE_UNPAIRED value.</t>
  </si>
  <si>
    <t>CVE-2014-3183</t>
  </si>
  <si>
    <t>Heap-based buffer overflow in the logi_dj_ll_raw_request function in drivers/hid/hid-logitech-dj.c in the Linux kernel before 3.16.2 allows physically proximate attackers to cause a denial of service (system crash) or possibly execute arbitrary code via a crafted device that specifies a large report size for an LED report.</t>
  </si>
  <si>
    <t>CVE-2014-3184</t>
  </si>
  <si>
    <t>The report_fixup functions in the HID subsystem in the Linux kernel before 3.16.2 might allow physically proximate attackers to cause a denial of service (out-of-bounds write) via a crafted device that provides a small report descriptor, related to (1) drivers/hid/hid-cherry.c, (2) drivers/hid/hid-kye.c, (3) drivers/hid/hid-lg.c, (4) drivers/hid/hid-monterey.c, (5) drivers/hid/hid-petalynx.c, and (6) drivers/hid/hid-sunplus.c.</t>
  </si>
  <si>
    <t>CVE-2014-3185</t>
  </si>
  <si>
    <t>Multiple buffer overflows in the command_port_read_callback function in drivers/usb/serial/whiteheat.c in the Whiteheat USB Serial Driver in the Linux kernel before 3.16.2 allow physically proximate attackers to execute arbitrary code or cause a denial of service (memory corruption and system crash) via a crafted device that provides a large amount of (1) EHCI or (2) XHCI data associated with a bulk response.</t>
  </si>
  <si>
    <t>CVE-2014-3186</t>
  </si>
  <si>
    <t>Buffer overflow in the picolcd_raw_event function in devices/hid/hid-picolcd_core.c in the PicoLCD HID device driver in the Linux kernel through 3.16.3, as used in Android on Nexus 7 devices, allows physically proximate attackers to cause a denial of service (system crash) or possibly execute arbitrary code via a crafted device that sends a large report.</t>
  </si>
  <si>
    <t>CVE-2014-3535</t>
  </si>
  <si>
    <t>include/linux/netdevice.h in the Linux kernel before 2.6.36 incorrectly uses macros for netdev_printk and its related logging implementation, which allows remote attackers to cause a denial of service (NULL pointer dereference and system crash) by sending invalid packets to a VxLAN interface.</t>
  </si>
  <si>
    <t>CVE-2014-3985</t>
  </si>
  <si>
    <t>The getHTTPResponse function in miniwget.c in MiniUPnP 1.9 allows remote attackers to cause a denial of service (crash) via crafted headers that trigger an out-of-bounds read.</t>
  </si>
  <si>
    <t>CVE-2014-4608</t>
  </si>
  <si>
    <t>** DISPUTED ** Multiple integer overflows in the lzo1x_decompress_safe function in lib/lzo/lzo1x_decompress_safe.c in the LZO decompressor in the Linux kernel before 3.15.2 allow context-dependent attackers to cause a denial of service (memory corruption) via a crafted Literal Run.  NOTE: the author of the LZO algorithms says "the Linux kernel is *not* affected; media hype."</t>
  </si>
  <si>
    <t>CVE-2014-6416</t>
  </si>
  <si>
    <t>Buffer overflow in net/ceph/auth_x.c in Ceph, as used in the Linux kernel before 3.16.3, allows remote attackers to cause a denial of service (memory corruption and panic) or possibly have unspecified other impact via a long unencrypted auth ticket.</t>
  </si>
  <si>
    <t>CVE-2014-7825</t>
  </si>
  <si>
    <t>kernel/trace/trace_syscalls.c in the Linux kernel through 3.17.2 does not properly handle private syscall numbers during use of the perf subsystem, which allows local users to cause a denial of service (out-of-bounds read and OOPS) or bypass the ASLR protection mechanism via a crafted application.</t>
  </si>
  <si>
    <t>CVE-2014-8884</t>
  </si>
  <si>
    <t>Stack-based buffer overflow in the ttusbdecfe_dvbs_diseqc_send_master_cmd function in drivers/media/usb/ttusb-dec/ttusbdecfe.c in the Linux kernel before 3.17.4 allows local users to cause a denial of service (system crash) or possibly gain privileges via a large message length in an ioctl call.</t>
  </si>
  <si>
    <t>CVE-2015-1333</t>
  </si>
  <si>
    <t>Memory leak in the __key_link_end function in security/keys/keyring.c in the Linux kernel before 4.1.4 allows local users to cause a denial of service (memory consumption) via many add_key system calls that refer to existing keys.</t>
  </si>
  <si>
    <t>CVE-2015-2666</t>
  </si>
  <si>
    <t>Stack-based buffer overflow in the get_matching_model_microcode function in arch/x86/kernel/cpu/microcode/intel_early.c in the Linux kernel before 4.0 allows context-dependent attackers to gain privileges by constructing a crafted microcode header and leveraging root privileges for write access to the initrd.</t>
  </si>
  <si>
    <t>CVE-2015-3214</t>
  </si>
  <si>
    <t>The pit_ioport_read in i8254.c in the Linux kernel before 2.6.33 and QEMU before 2.3.1 does not distinguish between read lengths and write lengths, which might allow guest OS users to execute arbitrary code on the host OS by triggering use of an invalid index.</t>
  </si>
  <si>
    <t>CVE-2015-3331</t>
  </si>
  <si>
    <t>The __driver_rfc4106_decrypt function in arch/x86/crypto/aesni-intel_glue.c in the Linux kernel before 3.19.3 does not properly determine the memory locations used for encrypted data, which allows context-dependent attackers to cause a denial of service (buffer overflow and system crash) or possibly execute arbitrary code by triggering a crypto API call, as demonstrated by use of a libkcapi test program with an AF_ALG(aead) socket.</t>
  </si>
  <si>
    <t>CVE-2015-4036</t>
  </si>
  <si>
    <t>Array index error in the tcm_vhost_make_tpg function in drivers/vhost/scsi.c in the Linux kernel before 4.0 might allow guest OS users to cause a denial of service (memory corruption) or possibly have unspecified other impact via a crafted VHOST_SCSI_SET_ENDPOINT ioctl call.  NOTE: the affected function was renamed to vhost_scsi_make_tpg before the vulnerability was announced.</t>
  </si>
  <si>
    <t>CVE-2012-5511</t>
  </si>
  <si>
    <t>Stack-based buffer overflow in the dirty video RAM tracking functionality in Xen 3.4 through 4.1 allows local HVM guest OS administrators to cause a denial of service (crash) via a large bitmap image.</t>
  </si>
  <si>
    <t>CVE-2013-2072</t>
  </si>
  <si>
    <t>Buffer overflow in the Python bindings for the xc_vcpu_setaffinity call in Xen 4.0.x, 4.1.x, and 4.2.x allows local administrators with permissions to configure VCPU affinity to cause a denial of service (memory corruption and xend toolstack crash) and possibly gain privileges via a crafted cpumap.</t>
  </si>
  <si>
    <t>CVE-2013-4370</t>
  </si>
  <si>
    <t>The ocaml binding for the xc_vcpu_getaffinity function in Xen 4.2.x and 4.3.x frees certain memory that may still be intended for use, which allows local users to cause a denial of service (heap corruption and crash) and possibly execute arbitrary code via unspecified vectors that trigger a (1) use-after-free or (2) double free.</t>
  </si>
  <si>
    <t>CVE-2013-4416</t>
  </si>
  <si>
    <t>The Ocaml xenstored implementation (oxenstored) in Xen 4.1.x, 4.2.x, and 4.3.x allows local guest domains to cause a denial of service (domain shutdown) via a large message reply.</t>
  </si>
  <si>
    <t>CVE-2014-4021</t>
  </si>
  <si>
    <t>Xen 3.2.x through 4.4.x does not properly clean memory pages recovered from guests, which allows local guest OS users to obtain sensitive information via unspecified vectors.</t>
  </si>
  <si>
    <t>P_COMMIT</t>
  </si>
  <si>
    <t>NUM_FILES</t>
  </si>
  <si>
    <t>004dd20c078c42719f22f92c0d4356c240ff7595</t>
  </si>
  <si>
    <t>ff9650ba8d901c3370643329857c973276d467d5</t>
  </si>
  <si>
    <t>7daf7f3676c49a2f1360a98933b80684ab4e431d</t>
  </si>
  <si>
    <t>050414e94b197bc129065b587755848625a2443f</t>
  </si>
  <si>
    <t>702b90e2aad4199675c3d0d951e00b77cde895ed</t>
  </si>
  <si>
    <t>fcfb3ebfa23ac631c7873daf085c280c4b3f6017</t>
  </si>
  <si>
    <t>73da110d58e3c70e0faacad75af7fc66ef935cb4</t>
  </si>
  <si>
    <t>0e7b37595e53656c530d71a5866366307cccc04f</t>
  </si>
  <si>
    <t>7893caea6b672bed561eddb538210fe3623bea75</t>
  </si>
  <si>
    <t>10fe38e01faa728edc09d19dc76e28f5c1230705</t>
  </si>
  <si>
    <t>0556e96340b92579b3714b0e81f589b6be6ed260</t>
  </si>
  <si>
    <t>19af9d4ec00170ae7aa9c6a4d8ff395232fc1628</t>
  </si>
  <si>
    <t>085004cc6a7b6741743a39949d192049fbc4bc9c</t>
  </si>
  <si>
    <t>20307b86d6c203d3c8c93381ef738ec81e264fd6</t>
  </si>
  <si>
    <t>846ed792893513b01d682c56d96c59c585de022d</t>
  </si>
  <si>
    <t>25518337644dfa70bf65cde84597449b56a929ea</t>
  </si>
  <si>
    <t>84a8e5e7bb5ddfbf85b44efffaf9e31facda346e</t>
  </si>
  <si>
    <t>29c560f739970f2c60ad2d5949ae88a2349b9cdc</t>
  </si>
  <si>
    <t>8a00ae3b10367e4225704564406fe1800e60ecc5</t>
  </si>
  <si>
    <t>2b916d4cc717ba145a626d4512a7a610e5128c2e</t>
  </si>
  <si>
    <t>8f631700e59ca162711cd068e02cc8005941564d</t>
  </si>
  <si>
    <t>2df10830259bea2063be6794a980cf7bc919a4e9</t>
  </si>
  <si>
    <t>9015ed3039552c0c8a882240ada430e4224d8ce2</t>
  </si>
  <si>
    <t>300196f679867630257a6562fb5c2563c530d7d3</t>
  </si>
  <si>
    <t>92e4e0683f0bfcc9ae3190320c4b0fd9949d9bd0</t>
  </si>
  <si>
    <t>34db1b7a9fbbed0197c9168192de660a59d8604f</t>
  </si>
  <si>
    <t>93219b0a333a40e6dcacd8e76c1f04cbacdadada</t>
  </si>
  <si>
    <t>3ef5d43b78168dd53fbacecb6a5b156f7c40810a</t>
  </si>
  <si>
    <t>9aca4442cfe1f09510a720c61f67385e81aa92f9</t>
  </si>
  <si>
    <t>4798ee08d2de3dfa6e972f60ffe305260f915076</t>
  </si>
  <si>
    <t>9d6d2d74b57eaf2841caffa1a81ec22192c22efb</t>
  </si>
  <si>
    <t>4b5c66fc5ab4408dd7c70767eb9e085436aa0634</t>
  </si>
  <si>
    <t>a6ab39295bcfdcbac50e10a3c6580614a78c5220</t>
  </si>
  <si>
    <t>4e9f1925dd8acd6c34cab0e86b9c1189cf9d6c5b</t>
  </si>
  <si>
    <t>a75320f68f215da68675e24bd0ca8d8a4bcc3ddf</t>
  </si>
  <si>
    <t>5039bc1393b6ddbfcede908cde1241907548129d</t>
  </si>
  <si>
    <t>a8247109148742d867d85e43f64c85bc0f855e0d</t>
  </si>
  <si>
    <t>5508be5ad23a66db108a4cf75dce09fe393235bb</t>
  </si>
  <si>
    <t>ad6712b14baeb9faf1f89e65794f7e059c4ef2cb</t>
  </si>
  <si>
    <t>59d34932f85fb2c8e8869ae972c6092ef8f9a98d</t>
  </si>
  <si>
    <t>b05f46311b9193888434ed24f869afb929ca7a26</t>
  </si>
  <si>
    <t>5dae9ec03ce9a864a8d07f73814980e20f2da305</t>
  </si>
  <si>
    <t>bcece6a3cbd6376254d45ab65ea1502a55deaa3d</t>
  </si>
  <si>
    <t>6517a01b635b15e935427ac5c23f7ec394cb7bd2</t>
  </si>
  <si>
    <t>be9a8abe8b2fcb7585da4bfad9b31acea5503d57</t>
  </si>
  <si>
    <t>6d18ba3e6c1fe64644b4b2b0980b12b72e2d9062</t>
  </si>
  <si>
    <t>becfac9aaaed872b2005834f0fbc3cf6b59ccb19</t>
  </si>
  <si>
    <t>0ee094d218e6050d34f97eeaac2217faa7c56237</t>
  </si>
  <si>
    <t>bfea94bf48feaee076ec69afa5e04ab6340900af</t>
  </si>
  <si>
    <t>1c7e6d70e5ba71e0f001b5e5987bc3e9250de7c1</t>
  </si>
  <si>
    <t>c9ec94c80919840c9089310d6f228b3102ccd248</t>
  </si>
  <si>
    <t>28899bde209b635b5be63fdd3227a63f8e178722</t>
  </si>
  <si>
    <t>cb554a18119d99c85f77fa17a8da46f5338914dc</t>
  </si>
  <si>
    <t>2cecb6cdcb9357c4d9630ec29f0c4a2915ba97fd</t>
  </si>
  <si>
    <t>ccf98274c5c66233ade703beb4eb8f872274f899</t>
  </si>
  <si>
    <t>3276584f22a47352f79a016ed872f05bdc17ffcb</t>
  </si>
  <si>
    <t>ce259375756f46ae0d7d6d5fec063df473f93de5</t>
  </si>
  <si>
    <t>40f6db96c128c7fb0e00e23b9dc8766222ed1714</t>
  </si>
  <si>
    <t>cfb1b38a561acc1d5f75e9870c8cb1b5fa851065</t>
  </si>
  <si>
    <t>4c9032b1e4afb969f15e080223b2c90c78208c4f</t>
  </si>
  <si>
    <t>cfd5ee2a8ab07091edb622ec66df1a83b1186f37</t>
  </si>
  <si>
    <t>54343582174a44aa841117b2ef6f635ea8997212</t>
  </si>
  <si>
    <t>d8c1972b0e2193e622d094bf996d79f7ac722e5e</t>
  </si>
  <si>
    <t>5a0c7ef7a261631d3cbde70536d6c1640637befe</t>
  </si>
  <si>
    <t>d983bcfd9a86bdf2b15e0f17ffe1f3eb0ec65e06</t>
  </si>
  <si>
    <t>6c30e7017ecc1ac03bcd6dcd576132b08d983f63</t>
  </si>
  <si>
    <t>da6dc97eddc63f4b00c754645861ce4175a1ee4c</t>
  </si>
  <si>
    <t>1610a12b60c07ae04075d0a20c164589fc10373b</t>
  </si>
  <si>
    <t>df7fb26d75815c4882b4c2a44b42c7f5b7a4492f</t>
  </si>
  <si>
    <t>2b0fec2f5843d961d317963fe8ab9154cd5d2c62</t>
  </si>
  <si>
    <t>e2d46b52f2fa80d20cf89e60372dbca1444ac6ff</t>
  </si>
  <si>
    <t>35c7952dbd1badc04cd1bb96480676c9077f8805</t>
  </si>
  <si>
    <t>e5aa530506ddc09ef0ef88a9563bfe918f26c4da</t>
  </si>
  <si>
    <t>4f5c44a7c8bca9e09b6ca1119c5ee8d549664061</t>
  </si>
  <si>
    <t>e71d6dc08d360199e66fbd53be0c21209d65c9c6</t>
  </si>
  <si>
    <t>604c4f2ddd1a10d5c93617bf253741cca79cab8f</t>
  </si>
  <si>
    <t>e9bd6c02695072e00e269b525816cbef99729e28</t>
  </si>
  <si>
    <t>2425c625cac5883224979735eee281a249115641</t>
  </si>
  <si>
    <t>ed460aa42d2ed47b974cb9bef4bc4c95a95ef7d4</t>
  </si>
  <si>
    <t>48f03a9574616d55a1646db3845da7560e5c35e5</t>
  </si>
  <si>
    <t>ef586f15354a3dfadda2e65df08bd58558e9efba</t>
  </si>
  <si>
    <t>08b448d9dd814dab7889deb0abb13e0f155024f7</t>
  </si>
  <si>
    <t>f54fef5b48eae68d6853878d130f507943b44ea6</t>
  </si>
  <si>
    <t>58bddec457f3bd26fe58c7380ef8b88e073d9f81</t>
  </si>
  <si>
    <t>f9cf3ad86a655d8345ee4b87b468a370b241dbb8</t>
  </si>
  <si>
    <t>2fe7e85cb5ff9b4380d5ac7698a5503e6cb2d8a3</t>
  </si>
  <si>
    <t>fcece1359aa876282e62a07282df8abdde231911</t>
  </si>
  <si>
    <t>7f11e1ff7d897cec88291c4f566f0f392ebd313a</t>
  </si>
  <si>
    <t>4a88e35e6fa7fa11691eda0f478a15024cfdba43</t>
  </si>
  <si>
    <t>8cfc4f7d1cc37bdb531a7e8975854dec3b6ef966</t>
  </si>
  <si>
    <t>39e49aca403cb282a19a4b38a130d3628b8f19b0</t>
  </si>
  <si>
    <t>40a868cb2bc01aedbeb2719bf138bdfa0a6495d9</t>
  </si>
  <si>
    <t>cee64ab415e7abb505717e3338b33a8983b0e022</t>
  </si>
  <si>
    <t>1e3d16a10221883e6d97faa38d077dd3ff5d7f05</t>
  </si>
  <si>
    <t>212c5cce4a8488720d2904a950848d048314c2a6</t>
  </si>
  <si>
    <t>a83190329b84e5778309bbd80f7ac01b33193fd9</t>
  </si>
  <si>
    <t>773231a5654d7fb297c9a21cd3daf16775115c62</t>
  </si>
  <si>
    <t>302c44b3d95e23af97af716826b4ed6c4a568126</t>
  </si>
  <si>
    <t>4db7ee5707221ae66ecdda260ced37777809832d</t>
  </si>
  <si>
    <t>b719f9e7049930de31698adaddc0ecc5ae07fb4f</t>
  </si>
  <si>
    <t>027b891ee8735e38a77da3a307b832323b93a1ea</t>
  </si>
  <si>
    <t>8ba02e005041475d990b66666e412c7bab431525</t>
  </si>
  <si>
    <t>2f3ba5d8677cb0f94e7e661fb1ac304517080831</t>
  </si>
  <si>
    <t>44080291f9ba90be3628176dd29e5526aae0acc8</t>
  </si>
  <si>
    <t>7f78a2b1df101825ed2eea72978f20a587e1d157</t>
  </si>
  <si>
    <t>64045fd88ecaf6d1b2e207c8e2cc9697fbf158ed</t>
  </si>
  <si>
    <t>e7a61a4c762c8fd45d0c886b2c808a6d090a061d</t>
  </si>
  <si>
    <t>518b6803204a644d3435010c3763259e3a28039d</t>
  </si>
  <si>
    <t>3864365107c31b95dc576243f18582e4cabedf06</t>
  </si>
  <si>
    <t>4a0ec574c3ca0c60d5815856725bf27046ec03d0</t>
  </si>
  <si>
    <t>84c46e79001cbcf4ba6d9363f21011fb552ce481</t>
  </si>
  <si>
    <t>aca5d0605c4ee77098fa4c8edac9dbbe76e26f8a</t>
  </si>
  <si>
    <t>87703497c0d709ee817d819d274b915fbcc3cbce</t>
  </si>
  <si>
    <t>34b2a1abb4b3c33725ff9093e337fe29c3aee6ad</t>
  </si>
  <si>
    <t>e246d089ef8cc53376839c7a9fb2b2777a21085f</t>
  </si>
  <si>
    <t>a464b09dd1337b744eb3bec09e10a788ce6fbc98</t>
  </si>
  <si>
    <t>8b52a3f2c181b384e144f9aabb08bfec6e19b70b</t>
  </si>
  <si>
    <t>5cdb0729698b75776a739bfb8533e7137ef62966</t>
  </si>
  <si>
    <t>9a2f05e2155c93bc98ee1303b937776d8e97c145</t>
  </si>
  <si>
    <t>b270538a1fa0033dd54121c286d71b994d3c38ea</t>
  </si>
  <si>
    <t>5aaae31bae1ad32da721802cbcb3ad66d87f2029</t>
  </si>
  <si>
    <t>ecc395d64b4ef3de950dcd963bac81420945e8ba</t>
  </si>
  <si>
    <t>a16a44393d62c68c5aded9e6e282c5ac4fb3e496</t>
  </si>
  <si>
    <t>515392fe32e690c4eafdb909a9ef9a27b4744f8d</t>
  </si>
  <si>
    <t>a9c3c555deba8a30dc1661b55b4f78924aefb0ac</t>
  </si>
  <si>
    <t>ef9a29d18ddfbaa92b6cf879fb1411f4313ee6ec</t>
  </si>
  <si>
    <t>a7d0dc7fcc645a83cff0c7befaf85d0e6af0a392</t>
  </si>
  <si>
    <t>f804cb2aecd0262d686cb9807b947c3c431b8eae</t>
  </si>
  <si>
    <t>d976736e4bb70962e4fa05a1f90a129589282b1c</t>
  </si>
  <si>
    <t>a709283487143d090a5e386099c48a6c8ea00280</t>
  </si>
  <si>
    <t>7f782812e3fdf7940b8b49f2ccb1af934b3f0aa6</t>
  </si>
  <si>
    <t>cd83b878cdf7673ef7bdae76e9a7752b3a624dd9</t>
  </si>
  <si>
    <t>5c2e08f1011d13a812dfbadf2d0a575eb7e4b460</t>
  </si>
  <si>
    <t>664b5f505f7fed95256bf5632ed0cd5ba3308fc6</t>
  </si>
  <si>
    <t>4548b74d780099658e6f5ec2e959b5a14af653ff</t>
  </si>
  <si>
    <t>922e3076b91eda3e2d1be3e61c734b38aa3b3ceb</t>
  </si>
  <si>
    <t>6578a0d181e428a213c1266c57fdca5f7d798823</t>
  </si>
  <si>
    <t>f8904b75d4adaeaf4e494754e4bff392361ff6e4</t>
  </si>
  <si>
    <t>37e10f63608828fd4693974bc169fb6f0e2b228e</t>
  </si>
  <si>
    <t>e4b7d42c4291332da37b859d3da7bf167c0a5cbb</t>
  </si>
  <si>
    <t>1b213a521f129f9e568f6103fe2b956670b141f2</t>
  </si>
  <si>
    <t>7334d9a749078e9e7e6a2e42dba341b7728b06cd</t>
  </si>
  <si>
    <t>6d8c3d6fdc3764024da2df6b474760ce3a0a5337</t>
  </si>
  <si>
    <t>c93c63103c2476da0aff6c6e93aef91126d15623</t>
  </si>
  <si>
    <t>d80cac6a01ec192502b386b9c404f542233951f0</t>
  </si>
  <si>
    <t>f39b202b1a22267c698968b57983b02c70e8ee3c</t>
  </si>
  <si>
    <t>d8508b65264248f5e54e5db3f6f665b8a450bf11</t>
  </si>
  <si>
    <t>9425d9154f641cfe6f0e8188473f795451896f78</t>
  </si>
  <si>
    <t>a1dac496b87e330db694b6adf046b1c37e6f7a07</t>
  </si>
  <si>
    <t>808465bdddd77bd4a8f096980eadb0df3df26f2a</t>
  </si>
  <si>
    <t>1900b08b4794628b3a1eda3375236a91ce92f3da</t>
  </si>
  <si>
    <t>7ae0254cb30106479f4648f77e33618266408c5e</t>
  </si>
  <si>
    <t>7392016e43ea8e0dc1e089a08a9494199f19d067</t>
  </si>
  <si>
    <t>2d7e1d45896dc3e567c6630142aef383f3683f93</t>
  </si>
  <si>
    <t>018237816e6732154e0bfeed836ca8a2bcc5c83e</t>
  </si>
  <si>
    <t>cc987a78b883b2fc328b5113e7bde64ec95473f2</t>
  </si>
  <si>
    <t>be093e03803a384167ac4776739174e965553cd4</t>
  </si>
  <si>
    <t>c93ff842c6bc8041d759175516b64a20c75093dc</t>
  </si>
  <si>
    <t>2603cddf75f5af610ba96c035874c12840caf8b3</t>
  </si>
  <si>
    <t>0f63056d1e8fdffd91e186e87d1fa153823b51cf</t>
  </si>
  <si>
    <t>b20b85f94672b85b955514994c11a44d891c3e74</t>
  </si>
  <si>
    <t>44e12bf078153a8ee665632c44569a4ab7ff1de2</t>
  </si>
  <si>
    <t>6e47f59e52140fd1b1be0f9276871acb81276152</t>
  </si>
  <si>
    <t>a6b117ab1e739846558fb3afab98ffa92823c7e4</t>
  </si>
  <si>
    <t>49a6fe857d15b46a186e04cdcf18a195dd488803</t>
  </si>
  <si>
    <t>29d4dd28bf42c0fcd013a9b26e59d324dc323af0</t>
  </si>
  <si>
    <t>660c88bd290f887d3478f18ec0f316b8b1c23aa6</t>
  </si>
  <si>
    <t>c8f5c9472ad3b7f331061f03c585da51b4f6ba54</t>
  </si>
  <si>
    <t>e262a6d343815cdc5f002dd9372e3d8ff62eab62</t>
  </si>
  <si>
    <t>a1dca72a56e46c25317d79687c43c1c0b489ba33</t>
  </si>
  <si>
    <t>eaf17aa9a97d9b0fc2b2dd835bb942f4f9d3d075</t>
  </si>
  <si>
    <t>961ed183a9fd080cf306c659b8736007e44065a5</t>
  </si>
  <si>
    <t>027ef6c87853b0a9df53175063028edb4950d476</t>
  </si>
  <si>
    <t>968460ebd8006d55661dec0fb86712b40d71c413</t>
  </si>
  <si>
    <t>0597d1b99fcfc2c0eada09a698f85ed413d4ba84</t>
  </si>
  <si>
    <t>9a59029bc218b48eff8b5d4dde5662fd79d3e1a8</t>
  </si>
  <si>
    <t>086ba77a6db00ed858ff07451bedee197df868c9</t>
  </si>
  <si>
    <t>9be260a646bf76fa418ee519afa10196b3164681</t>
  </si>
  <si>
    <t>15291164b22a357cb211b618adfef4fa82fc0de3</t>
  </si>
  <si>
    <t>fcc6cb0c13555e78c2d47257b6d1b5e59b0c419a</t>
  </si>
  <si>
    <t>9fcb95a105758b81ef0131cd18e2db5149f13e95</t>
  </si>
  <si>
    <t>a08d3b3b99efd509133946056531cdf8f3a0c09b</t>
  </si>
  <si>
    <t>201f99f170df14ba52ea4c52847779042b7a623b</t>
  </si>
  <si>
    <t>a1d47b262952a45aae62bd49cfaf33dd76c11a2c</t>
  </si>
  <si>
    <t>208c72f4fe44fe09577e7975ba0e7fa0278f3d03</t>
  </si>
  <si>
    <t>a27e13d370415add3487949c60810e36069a23a6</t>
  </si>
  <si>
    <t>2690d97ade05c5325cbf7c72b94b90d265659886</t>
  </si>
  <si>
    <t>a5cc68f3d63306d0d288f31edfc2ae6ef8ecd887</t>
  </si>
  <si>
    <t>27df6f25ff218072e0e879a96beeb398a79cdbc8</t>
  </si>
  <si>
    <t>a6f80fb7b5986fda663d94079d3bba0937a6b6ff</t>
  </si>
  <si>
    <t>286e633ef0ff5bb63c07b4516665da8004966fec</t>
  </si>
  <si>
    <t>a9e38c3e01ad242fe2a625354cf065c34b01e3aa</t>
  </si>
  <si>
    <t>27b87fe52baba0a55e9723030e76fce94fabcea4</t>
  </si>
  <si>
    <t>2811ebac2521ceac84f2bdae402455baa6a7fb47</t>
  </si>
  <si>
    <t>3c8a9c63d5fd738c261bd0ceece04d9c8357ca13</t>
  </si>
  <si>
    <t>2bc3c1179c781b359d4f2f3439cb3df72afc17fc</t>
  </si>
  <si>
    <t>47d439e9fb8a81a90022cfa785bf1c36c4e2aff6</t>
  </si>
  <si>
    <t>3440625d78711bee41a84cf29c3d8c579b522666</t>
  </si>
  <si>
    <t>4d00135a680727f6c3be78f8befaac009030e4df</t>
  </si>
  <si>
    <t>ab5a91a8364c3d6fc617abc47cc81d162c01d90a</t>
  </si>
  <si>
    <t>59c816c1f24df0204e01851431d3bab3eb76719c</t>
  </si>
  <si>
    <t>ad3e14d7c5268c2e24477c6ef54bbdf88add5d36</t>
  </si>
  <si>
    <t>6352a29305373ae6196491e6d4669f301e26492e</t>
  </si>
  <si>
    <t>adee11b2085bee90bd8f4f52123ffb07882d6256</t>
  </si>
  <si>
    <t>6817ae225cd650fb1c3295d769298c38b1eba818</t>
  </si>
  <si>
    <t>b5a1eeef04cc7859f34dec9b72ea1b28e4aba07c</t>
  </si>
  <si>
    <t>70d715fd0597f18528f389b5ac59102263067744</t>
  </si>
  <si>
    <t>b5e2f339865fb443107e5b10603e53bbc92dc054</t>
  </si>
  <si>
    <t>7182afea8d1afd432a17c18162cc3fd441d0da93</t>
  </si>
  <si>
    <t>b92946e2919134ebe2a4083e4302236295ea2a73</t>
  </si>
  <si>
    <t>7572777eef78ebdee1ecb7c258c0ef94d35bad16</t>
  </si>
  <si>
    <t>baff42ab1494528907bf4d5870359e31711746ae</t>
  </si>
  <si>
    <t>7a3f5134a8f5bd7fa38b5645eef05e8a4eb62951</t>
  </si>
  <si>
    <t>bbf31bf18d34caa87dd01f08bf713635593697f2</t>
  </si>
  <si>
    <t>7b0c8fcff47a885743125dd843db64af41af5a61</t>
  </si>
  <si>
    <t>c0f5ecee4e741667b2493c742b60b6218d40b3aa</t>
  </si>
  <si>
    <t>7d3e91a89b7adbc2831334def9e494dd9892f9af</t>
  </si>
  <si>
    <t>c18d0fe535a73b219f960d1af3d0c264555a12e3</t>
  </si>
  <si>
    <t>844817e47eef14141cf59b8d5ac08dd11c0a9189</t>
  </si>
  <si>
    <t>c2183d1e9b3f313dd8ba2b1b0197c8d9fb86a7ae</t>
  </si>
  <si>
    <t>89d7ae34cdda4195809a5a987f697a517a2a3177</t>
  </si>
  <si>
    <t>c27a3e4d667fdcad3db7b104f75659478e0c68d8</t>
  </si>
  <si>
    <t>905ad269c55fc62bee3da29f7b1d1efeba8aa1e1</t>
  </si>
  <si>
    <t>c2c65cd2e14ada6de44cb527e7f1990bede24e15</t>
  </si>
  <si>
    <t>929473ea05db455ad88cdc081f2adc556b8dc48f</t>
  </si>
  <si>
    <t>c300aa64ddf57d9c5d9c898a64b36877345dd4a9</t>
  </si>
  <si>
    <t>fdd7b4c3302c93f6833e338903ea77245eb510b4</t>
  </si>
  <si>
    <t>c54def7bd64d7c0b6993336abcffb8444795bf38</t>
  </si>
  <si>
    <t>1df2ae31c724e57be9d7ac00d78db8a5dabdd050</t>
  </si>
  <si>
    <t>ca4da5dd1f99fe9c59f1709fb43e818b18ad20e0</t>
  </si>
  <si>
    <t>206a81c18401c0cde6e579164f752c4b147324ce</t>
  </si>
  <si>
    <t>cae13fe4cc3f24820ffb990c09110626837e85d4</t>
  </si>
  <si>
    <t>3ed780117dbe5acb64280d218f0347f238dafed0</t>
  </si>
  <si>
    <t>ccfe8c3f7e52ae83155cb038753f4c75b774ca8a</t>
  </si>
  <si>
    <t>51217e69697fba92a06e07e16f55c9a52d8e8945</t>
  </si>
  <si>
    <t>d114b9fe78c8d6fc6e70808c2092aa307c36dc8e</t>
  </si>
  <si>
    <t>67de956ff5dc1d4f321e16cfbd63f5be3b691b43</t>
  </si>
  <si>
    <t>d35690beda1429544d46c8eb34b2e3a8c37ab299</t>
  </si>
  <si>
    <t>715230a44310a8cf66fbfb5a46f9a62a9b2de424</t>
  </si>
  <si>
    <t>d370af0ef7951188daeb15bae75db7ba57c67846</t>
  </si>
  <si>
    <t>79549c6dfda0603dba9a70a53467ce62d9335c33</t>
  </si>
  <si>
    <t>d38b7aa7fc3371b52d036748028db50b585ade2e</t>
  </si>
  <si>
    <t>7c2500f17d65092d93345f3996cf82ebca17e9ff</t>
  </si>
  <si>
    <t>d81a12bc29ae4038770e05dce4ab7f26fd5880fb</t>
  </si>
  <si>
    <t>85dfb745ee40232876663ae206cba35f24ab2a40</t>
  </si>
  <si>
    <t>dc6b845044ccb7e9e6f3b7e71bd179b3cf0223b6</t>
  </si>
  <si>
    <t>91b80969ba466ba4b915a4a1d03add8c297add3f</t>
  </si>
  <si>
    <t>e159332b9af4b04d882dbcfe1bb0117f0a6d4b58</t>
  </si>
  <si>
    <t>1d9959734a1949ea4f2427bd2d8b21ede6b2441c</t>
  </si>
  <si>
    <t>e237ec37ec154564f8690c5bd1795339955eeef9</t>
  </si>
  <si>
    <t>fa039d5f6b126fbd65eefa05db2f67e44df8f121</t>
  </si>
  <si>
    <t>e694958388c50148389b0e9b9e9e8945cf0f1b98</t>
  </si>
  <si>
    <t>5d81de8e8667da7135d3a32a964087c0faf5483f</t>
  </si>
  <si>
    <t>eafe1aa37e6ec2d56f14732b5240c4dd09f0613a</t>
  </si>
  <si>
    <t>74454a6a286bfce4bb23d89bd465f856fa6a6e19</t>
  </si>
  <si>
    <t>ee73f656a604d5aa9df86a97102e4e462dd79924</t>
  </si>
  <si>
    <t>84336d1a77ccd2c06a730ddd38e695c2324a7386</t>
  </si>
  <si>
    <t>ee9c5cfad29c8a13199962614b9b16f1c4137ac9</t>
  </si>
  <si>
    <t>04bcef2a83f40c6db24222b27a52892cba39dffb</t>
  </si>
  <si>
    <t>efc7ffcb4237f8cb9938909041c4ed38f6e1bf40</t>
  </si>
  <si>
    <t>48735d8d8bd701b1e0cd3d49c21e5e385ddcb077</t>
  </si>
  <si>
    <t>f151cd2c54ddc7714e2f740681350476cda03a28</t>
  </si>
  <si>
    <t>7ada876a8703f23befbb20a7465a702ee39b1704</t>
  </si>
  <si>
    <t>f2e323ec96077642d397bb1c355def536d489d16</t>
  </si>
  <si>
    <t>fa7ea87a057958a8b7926c1a60a3ca6d696328ed</t>
  </si>
  <si>
    <t>f2ebd422f71cda9c791f76f85d2ca102ae34a1ed</t>
  </si>
  <si>
    <t>8cf948e744e0218af604c32edecde10006dc8e9e</t>
  </si>
  <si>
    <t>f5563318ff1bde15b10e736e97ffce13be08bc1a</t>
  </si>
  <si>
    <t>6fb392b1a63ae36c31f62bc3fc8630b49d602b62</t>
  </si>
  <si>
    <t>f84598bd7c851f8b0bf8cd0d7c3be0d73c432ff4</t>
  </si>
  <si>
    <t>33afb8403f361919aa5c8fe1d0a4f5ddbfbbea3c</t>
  </si>
  <si>
    <t>eaae55dac6b64c0616046436b294e69fc5311581</t>
  </si>
  <si>
    <t>b363b3304bcf68c4541683b2eff70b29f0446a5b</t>
  </si>
  <si>
    <t>cea4dcfdad926a27a18e188720efe0f2c9403456</t>
  </si>
  <si>
    <t>ce0030c00f95cf9110d9cdcd41e901e1fb814417</t>
  </si>
  <si>
    <t>256df2f3879efdb2e9808bdb1b54b16fbb11fa38</t>
  </si>
  <si>
    <t>c85ce65ecac078ab1a1835c87c4a6319cf74660a</t>
  </si>
  <si>
    <t>ddb2c43594f22843e9f3153da151deaba1a834c5</t>
  </si>
  <si>
    <t>9c0d90103c7e0eb6e638e5b649e9f6d8d9c1b4b3</t>
  </si>
  <si>
    <t>7314e613d5ff9f0934f7a0f74ed7973b903315d1</t>
  </si>
  <si>
    <t>64dd153c83743af81f20924c6343652d731eeecb</t>
  </si>
  <si>
    <t>712f4aad406bb1ed67f3f98d04c044191f0ff593</t>
  </si>
  <si>
    <t>7c73875e7dda627040b12c19b01db634fa7f0fd1</t>
  </si>
  <si>
    <t>101545f6fef4a0a3ea8daf0b5b880df2c6a92a69</t>
  </si>
  <si>
    <t>0720a06a7518c9d0c0125bd5d1f3b6264c55c3dd</t>
  </si>
  <si>
    <t>4ab25786c87eb20857bbb715c3ae34ec8fd6a214</t>
  </si>
  <si>
    <t>133672efbc1085f9af990bdc145e1822ea93bcf3</t>
  </si>
  <si>
    <t>c41d68a513c71e35a14f66d71782d27a79a81ea6</t>
  </si>
  <si>
    <t>788084aba2ab7348257597496befcbccabdc98a3</t>
  </si>
  <si>
    <t>a2551df7ec568d87793d2eea4ca744e86318f205</t>
  </si>
  <si>
    <t>41abbadef60e5fccdfd688579dd458f7f7887cf5</t>
  </si>
  <si>
    <t>8eb2e89bfad8d55d0ca770e2a0988c945b318e03</t>
  </si>
  <si>
    <t>3cd10fd21220f2b814324e6e732004f8f0487d0a</t>
  </si>
  <si>
    <t>f2ae8bfa498831ee6343d672066b898d3cd73892</t>
  </si>
  <si>
    <t>0ddedcb8748f6db39f1825d5b2bb7d09fdabbaf2</t>
  </si>
  <si>
    <t>918a5f17b447072b40780f4d03a3adc99ff0073b</t>
  </si>
  <si>
    <t>210e61b80c29ef824f5fdc5946d6d876b8875fe3</t>
  </si>
  <si>
    <t>a4b2683b11cce70f9bff74d6cb615e8effa2e32f</t>
  </si>
  <si>
    <t>f1d1abcc1f5b8c541dd8ef2d970907b2b3515465</t>
  </si>
  <si>
    <t>b8efae696c9a2d46e91fa0eda739427efc16c250</t>
  </si>
  <si>
    <t>24ff9723e0398e78355ea4b83df50eafb154d4dc</t>
  </si>
  <si>
    <t>c3d1024d56aaf7fbb6415db1558f7eb40c854afc</t>
  </si>
  <si>
    <t>19f027cc5daff4a37fd0a28bca2514c721852dd0</t>
  </si>
  <si>
    <t>d619f1738706224681981b951b5a9cd132adba81</t>
  </si>
  <si>
    <t>06a68a09df243b175d1737a95df2e6f153cbae42</t>
  </si>
  <si>
    <t>09f9f72fa3dc2e239359741596fa349d8461cb50</t>
  </si>
  <si>
    <t>3e5c1c0093013a4274124eee7862f8e41021b220</t>
  </si>
  <si>
    <t>e2e6b7b627fec0d7a769ab46441f2985ebccbf04</t>
  </si>
  <si>
    <t>a3e049f8e86fe18e3b87f18dc0c7be665026fd9f</t>
  </si>
  <si>
    <t>a8f694905923e9ad4067d0fb63dbbcfb6e585bff</t>
  </si>
  <si>
    <t>8b2c441a1b53a43a38b3c517e28f239da3349872</t>
  </si>
  <si>
    <t>02615aaefd5c6c5856b4f81799bb6ec1ca0d89d0</t>
  </si>
  <si>
    <t>99d2b149915010e986f4d8778708c5891e7b4635</t>
  </si>
  <si>
    <t>f8bdc889ce8e8fe85e6a9f94922d30d765546e72</t>
  </si>
  <si>
    <t>6cdc9be2a5f2a87b4504404fbf648d16d9503c19</t>
  </si>
  <si>
    <t>7a93b9a11c99a88f293c3e1e3a79914b6d13b3aa</t>
  </si>
  <si>
    <t>c6fad967aabeb98da8307e59f73474b23b42f0d1</t>
  </si>
  <si>
    <t>4939f9a6dee4280f38730fd3066e5dce353112f6</t>
  </si>
  <si>
    <t>Contagem de filename</t>
  </si>
  <si>
    <t>Rótulos de Coluna</t>
  </si>
  <si>
    <t>Rótulos de Linha</t>
  </si>
  <si>
    <t>Total Geral</t>
  </si>
  <si>
    <t>repository</t>
  </si>
  <si>
    <t>commit</t>
  </si>
  <si>
    <t>filename</t>
  </si>
  <si>
    <t>additions</t>
  </si>
  <si>
    <t>deletions</t>
  </si>
  <si>
    <t>changes</t>
  </si>
  <si>
    <t>status</t>
  </si>
  <si>
    <t>netwerk/protocol/websocket/WebSocketChannel.cpp</t>
  </si>
  <si>
    <t>modified</t>
  </si>
  <si>
    <t>js/src/builtin/TypedObject.cpp</t>
  </si>
  <si>
    <t>js/src/builtin/TypedObject.h</t>
  </si>
  <si>
    <t>js/src/vm/ArrayBufferObject.cpp</t>
  </si>
  <si>
    <t>js/src/vm/ArrayBufferObject.h</t>
  </si>
  <si>
    <t>js/src/vm/TypedArrayObject.cpp</t>
  </si>
  <si>
    <t>js/src/vm/TypedArrayObject.h</t>
  </si>
  <si>
    <t>content/base/src/nsContentSink.cpp</t>
  </si>
  <si>
    <t>docshell/base/nsDocShell.cpp</t>
  </si>
  <si>
    <t>layout/generic/nsContainerFrame.cpp</t>
  </si>
  <si>
    <t>hal/windows/WindowsGamepad.cpp</t>
  </si>
  <si>
    <t>content/svg/content/src/nsDOMSVGZoomEvent.cpp</t>
  </si>
  <si>
    <t>js/src/jstracer.cpp</t>
  </si>
  <si>
    <t>layout/base/nsCSSFrameConstructor.cpp</t>
  </si>
  <si>
    <t>netwerk/streamconv/converters/nsDirIndexParser.cpp</t>
  </si>
  <si>
    <t>modules/libpr0n/decoders/nsBMPDecoder.cpp</t>
  </si>
  <si>
    <t>modules/libpr0n/decoders/nsGIFDecoder2.cpp</t>
  </si>
  <si>
    <t>modules/libpr0n/decoders/nsIconDecoder.cpp</t>
  </si>
  <si>
    <t>modules/libpr0n/decoders/nsJPEGDecoder.cpp</t>
  </si>
  <si>
    <t>modules/libpr0n/decoders/nsPNGDecoder.cpp</t>
  </si>
  <si>
    <t>modules/libpr0n/src/Decoder.h</t>
  </si>
  <si>
    <t>modules/libpr0n/src/RasterImage.cpp</t>
  </si>
  <si>
    <t>js/src/vm/Symbol.h</t>
  </si>
  <si>
    <t>gfx/src/mac/nsUnicodeRenderingToolkit.cpp</t>
  </si>
  <si>
    <t>js/jsd/jsd_lock.cpp</t>
  </si>
  <si>
    <t>js/public/Utility.h</t>
  </si>
  <si>
    <t>js/src/jit/BaselineBailouts.cpp</t>
  </si>
  <si>
    <t>js/src/jit/IonCode.h</t>
  </si>
  <si>
    <t>js/src/jsutil.cpp</t>
  </si>
  <si>
    <t>layout/generic/nsBlockFrame.cpp</t>
  </si>
  <si>
    <t>content/media/webaudio/AudioProcessingEvent.cpp</t>
  </si>
  <si>
    <t>content/media/webaudio/AudioProcessingEvent.h</t>
  </si>
  <si>
    <t>content/media/webaudio/ScriptProcessorNode.cpp</t>
  </si>
  <si>
    <t>dom/webidl/AudioProcessingEvent.webidl</t>
  </si>
  <si>
    <t>image/decoders/nsGIFDecoder2.cpp</t>
  </si>
  <si>
    <t>js/src/gc/Barrier.cpp</t>
  </si>
  <si>
    <t>js/src/gc/Barrier.h</t>
  </si>
  <si>
    <t>js/src/json.cpp</t>
  </si>
  <si>
    <t>dom/src/geolocation/nsGeolocation.cpp</t>
  </si>
  <si>
    <t>dom/tests/mochitest/geolocation/test_clearWatch_invalid.html</t>
  </si>
  <si>
    <t>js/src/ion/IonBuilder.cpp</t>
  </si>
  <si>
    <t>content/xslt/src/xslt/txStylesheetCompileHandlers.cpp</t>
  </si>
  <si>
    <t>dom/workers/Events.cpp</t>
  </si>
  <si>
    <t>dom/workers/Exceptions.cpp</t>
  </si>
  <si>
    <t>dom/workers/File.cpp</t>
  </si>
  <si>
    <t>dom/workers/Worker.cpp</t>
  </si>
  <si>
    <t>dom/workers/WorkerScope.cpp</t>
  </si>
  <si>
    <t>dom/workers/Workers.h</t>
  </si>
  <si>
    <t>content/media/webaudio/AudioBuffer.cpp</t>
  </si>
  <si>
    <t>content/media/webaudio/AudioBuffer.h</t>
  </si>
  <si>
    <t>content/media/webaudio/AudioContext.cpp</t>
  </si>
  <si>
    <t>content/media/webaudio/AudioDestinationNode.cpp</t>
  </si>
  <si>
    <t>content/media/webaudio/MediaBufferDecoder.cpp</t>
  </si>
  <si>
    <t>content/media/webaudio/WebAudioUtils.h</t>
  </si>
  <si>
    <t>content/media/webaudio/blink/DynamicsCompressorKernel.cpp</t>
  </si>
  <si>
    <t>content/media/webaudio/AudioBufferSourceNode.cpp</t>
  </si>
  <si>
    <t>js/src/jsinterp.cpp</t>
  </si>
  <si>
    <t>layout/style/nsAnimationManager.cpp</t>
  </si>
  <si>
    <t>widget/gtk2/nsWindow.cpp</t>
  </si>
  <si>
    <t>image/decoders/nsBMPDecoder.cpp</t>
  </si>
  <si>
    <t>image/decoders/nsBMPDecoder.h</t>
  </si>
  <si>
    <t>content/svg/content/src/nsSVGFilters.cpp</t>
  </si>
  <si>
    <t>intl/unicharutil/src/nsSaveAsCharset.cpp</t>
  </si>
  <si>
    <t>layout/base/nsCSSFrameConstructor.h</t>
  </si>
  <si>
    <t>layout/base/nsPresShell.cpp</t>
  </si>
  <si>
    <t>gfx/cairo/README</t>
  </si>
  <si>
    <t>gfx/cairo/cairo/src/Makefile.in</t>
  </si>
  <si>
    <t>gfx/cairo/cairo/src/cairo-ft-font.c</t>
  </si>
  <si>
    <t>gfx/cairo/setlcdfilter_in_tree.patch</t>
  </si>
  <si>
    <t>added</t>
  </si>
  <si>
    <t>dom/xbl/nsXBLBinding.cpp</t>
  </si>
  <si>
    <t>dom/xbl/nsXBLService.h</t>
  </si>
  <si>
    <t>js/src/jsinfer.cpp</t>
  </si>
  <si>
    <t>dom/base/nsWindowRoot.cpp</t>
  </si>
  <si>
    <t>dom/base/nsWindowRoot.h</t>
  </si>
  <si>
    <t>js/src/methodjit/PolyIC.h</t>
  </si>
  <si>
    <t>dom/bindings/CallbackObject.cpp</t>
  </si>
  <si>
    <t>dom/bindings/CallbackObject.h</t>
  </si>
  <si>
    <t>content/xul/templates/src/Makefile.in</t>
  </si>
  <si>
    <t>content/xul/templates/src/nsXULTreeBuilder.cpp</t>
  </si>
  <si>
    <t>layout/xul/base/src/tree/public/nsITreeSelection.idl</t>
  </si>
  <si>
    <t>layout/xul/base/src/tree/src/nsTreeContentView.cpp</t>
  </si>
  <si>
    <t>layout/xul/base/src/tree/src/nsTreeContentView.h</t>
  </si>
  <si>
    <t>layout/xul/base/src/tree/src/nsTreeSelection.cpp</t>
  </si>
  <si>
    <t>layout/xul/base/src/tree/src/nsTreeSelection.h</t>
  </si>
  <si>
    <t>content/media/webaudio/MediaBufferDecoder.h</t>
  </si>
  <si>
    <t>content/media/webaudio/test/test_mediaDecoding.html</t>
  </si>
  <si>
    <t>js/src/jsemit.cpp</t>
  </si>
  <si>
    <t>js/src/jit/RangeAnalysis.cpp</t>
  </si>
  <si>
    <t>js/xpconnect/src/XPCCallContext.cpp</t>
  </si>
  <si>
    <t>js/xpconnect/src/XPCConvert.cpp</t>
  </si>
  <si>
    <t>js/xpconnect/src/XPCInlines.h</t>
  </si>
  <si>
    <t>js/xpconnect/src/XPCVariant.cpp</t>
  </si>
  <si>
    <t>js/xpconnect/src/XPCWrappedJSClass.cpp</t>
  </si>
  <si>
    <t>js/xpconnect/src/XPCWrappedNativeJSOps.cpp</t>
  </si>
  <si>
    <t>js/xpconnect/src/nsXPConnect.cpp</t>
  </si>
  <si>
    <t>js/xpconnect/src/xpcprivate.h</t>
  </si>
  <si>
    <t>layout/generic/nsBlockFrame.h</t>
  </si>
  <si>
    <t>content/media/webaudio/ChannelMergerNode.cpp</t>
  </si>
  <si>
    <t>xpcom/glue/nsTArray.h</t>
  </si>
  <si>
    <t>xpcom/tests/gtest/TestTArray.cpp</t>
  </si>
  <si>
    <t>layout/generic/nsFrameSetFrame.cpp</t>
  </si>
  <si>
    <t>gfx/thebes/gfxGDIFont.cpp</t>
  </si>
  <si>
    <t>content/xslt/src/xslt/txStylesheetCompiler.cpp</t>
  </si>
  <si>
    <t>content/base/public/nsIDocument.h</t>
  </si>
  <si>
    <t>content/base/src/nsINode.cpp</t>
  </si>
  <si>
    <t>content/html/document/src/nsHTMLDocument.cpp</t>
  </si>
  <si>
    <t>widget/windows/nsNativeThemeWin.cpp</t>
  </si>
  <si>
    <t>widget/windows/nsWindow.cpp</t>
  </si>
  <si>
    <t>xpcom/io/nsNativeCharsetUtils.cpp</t>
  </si>
  <si>
    <t>layout/base/nsBidiPresUtils.cpp</t>
  </si>
  <si>
    <t>parser/expat/lib/xmlparse.c</t>
  </si>
  <si>
    <t>widget/windows/KeyboardLayout.cpp</t>
  </si>
  <si>
    <t>widget/windows/KeyboardLayout.h</t>
  </si>
  <si>
    <t>layout/base/nsIPresShell.h</t>
  </si>
  <si>
    <t>layout/generic/nsGfxScrollFrame.cpp</t>
  </si>
  <si>
    <t>content/canvas/src/WebGLContext.h</t>
  </si>
  <si>
    <t>content/media/wave/nsWaveReader.cpp</t>
  </si>
  <si>
    <t>gfx/thebes/src/gfxFont.cpp</t>
  </si>
  <si>
    <t>content/media/webaudio/WebAudioUtils.cpp</t>
  </si>
  <si>
    <t>content/base/src/nsGkAtomList.h</t>
  </si>
  <si>
    <t>layout/mathml/base/src/nsIMathMLFrame.h</t>
  </si>
  <si>
    <t>layout/mathml/base/src/nsMathMLContainerFrame.cpp</t>
  </si>
  <si>
    <t>layout/mathml/base/src/nsMathMLContainerFrame.h</t>
  </si>
  <si>
    <t>layout/mathml/base/src/nsMathMLFrame.cpp</t>
  </si>
  <si>
    <t>layout/mathml/base/src/nsMathMLFrame.h</t>
  </si>
  <si>
    <t>layout/mathml/base/src/nsMathMLTokenFrame.cpp</t>
  </si>
  <si>
    <t>layout/mathml/base/src/nsMathMLTokenFrame.h</t>
  </si>
  <si>
    <t>layout/mathml/base/src/nsMathMLmfracFrame.cpp</t>
  </si>
  <si>
    <t>layout/mathml/base/src/nsMathMLmfracFrame.h</t>
  </si>
  <si>
    <t>layout/mathml/base/src/nsMathMLmoFrame.cpp</t>
  </si>
  <si>
    <t>layout/mathml/base/src/nsMathMLmoFrame.h</t>
  </si>
  <si>
    <t>js/src/jstypedarray.cpp</t>
  </si>
  <si>
    <t>js/src/jstypedarray.h</t>
  </si>
  <si>
    <t>js/src/jstypedarrayinlines.h</t>
  </si>
  <si>
    <t>js/src/vm/ObjectImpl.h</t>
  </si>
  <si>
    <t>layout/generic/nsTextFrameThebes.cpp</t>
  </si>
  <si>
    <t>gfx/angle/Makefile.in</t>
  </si>
  <si>
    <t>gfx/angle/README.mozilla</t>
  </si>
  <si>
    <t>gfx/angle/src/compiler/preprocessor/atom.c</t>
  </si>
  <si>
    <t>gfx/angle/src/libEGL/Makefile.in</t>
  </si>
  <si>
    <t>gfx/angle/src/libGLESv2/Makefile.in</t>
  </si>
  <si>
    <t>parser/html/javasrc/StateSnapshot.java</t>
  </si>
  <si>
    <t>parser/html/javasrc/TreeBuilder.java</t>
  </si>
  <si>
    <t>parser/html/nsAHtml5TreeBuilderState.h</t>
  </si>
  <si>
    <t>parser/html/nsHtml5StateSnapshot.cpp</t>
  </si>
  <si>
    <t>parser/html/nsHtml5StateSnapshot.h</t>
  </si>
  <si>
    <t>parser/html/nsHtml5TreeBuilder.cpp</t>
  </si>
  <si>
    <t>parser/html/nsHtml5TreeBuilder.h</t>
  </si>
  <si>
    <t>content/media/ogg/nsOggReader.cpp</t>
  </si>
  <si>
    <t>content/media/test/Makefile.in</t>
  </si>
  <si>
    <t>content/media/test/manifest.js</t>
  </si>
  <si>
    <t>content/media/test/multiple-bos.ogg</t>
  </si>
  <si>
    <t>layout/generic/nsContainerFrame.h</t>
  </si>
  <si>
    <t>layout/generic/nsIFrame.h</t>
  </si>
  <si>
    <t>layout/xul/base/src/nsPopupSetFrame.cpp</t>
  </si>
  <si>
    <t>gfx/layers/d3d10/CanvasLayerD3D10.cpp</t>
  </si>
  <si>
    <t>gfx/layers/d3d9/CanvasLayerD3D9.cpp</t>
  </si>
  <si>
    <t>toolkit/components/maintenanceservice/workmonitor.cpp</t>
  </si>
  <si>
    <t>media/libstagefright/frameworks/av/media/libstagefright/ESDS.cpp</t>
  </si>
  <si>
    <t>js/src/jit-test/tests/ion/bug1000960.js</t>
  </si>
  <si>
    <t>js/src/jit/arm/MacroAssembler-arm.h</t>
  </si>
  <si>
    <t>dom/system/gonk/AudioManager.cpp</t>
  </si>
  <si>
    <t>dom/system/gonk/TimeZoneSettingObserver.cpp</t>
  </si>
  <si>
    <t>dom/system/gonk/nsVolumeService.cpp</t>
  </si>
  <si>
    <t>dom/system/gonk/nsVolumeStat.cpp</t>
  </si>
  <si>
    <t>modules/plugin/base/src/nsNPAPIPlugin.cpp</t>
  </si>
  <si>
    <t>gfx/layers/ipc/CompositableTransactionParent.cpp</t>
  </si>
  <si>
    <t>widget/gtk2/nsWindow.h</t>
  </si>
  <si>
    <t>image/src/RasterImage.cpp</t>
  </si>
  <si>
    <t>image/src/RasterImage.h</t>
  </si>
  <si>
    <t>netwerk/base/src/nsUnicharStreamLoader.cpp</t>
  </si>
  <si>
    <t>layout/generic/nsHTMLReflowState.cpp</t>
  </si>
  <si>
    <t>layout/generic/nsHTMLReflowState.h</t>
  </si>
  <si>
    <t>layout/xul/base/src/tree/src/nsTreeBodyFrame.h</t>
  </si>
  <si>
    <t>layout/reftests/text/reftest.list</t>
  </si>
  <si>
    <t>media/webrtc/trunk/webrtc/modules/video_capture/windows/device_info_ds.cc</t>
  </si>
  <si>
    <t>toolkit/components/maintenanceservice/maintenanceservice.cpp</t>
  </si>
  <si>
    <t>toolkit/components/maintenanceservice/serviceinstall.cpp</t>
  </si>
  <si>
    <t>toolkit/mozapps/update/common/pathhash.cpp</t>
  </si>
  <si>
    <t>toolkit/mozapps/update/common/updatehelper.cpp</t>
  </si>
  <si>
    <t>content/xul/document/src/nsXULCommandDispatcher.cpp</t>
  </si>
  <si>
    <t>content/xul/document/src/nsXULCommandDispatcher.h</t>
  </si>
  <si>
    <t>content/xul/document/src/nsXULDocument.cpp</t>
  </si>
  <si>
    <t>js/xpconnect/src/XPCJSContextStack.cpp</t>
  </si>
  <si>
    <t>js/src/ion/AsmJS.cpp</t>
  </si>
  <si>
    <t>js/src/jsopcode.cpp</t>
  </si>
  <si>
    <t>js/src/jsopcode.h</t>
  </si>
  <si>
    <t>content/svg/content/src/nsSVGLengthList.cpp</t>
  </si>
  <si>
    <t>content/svg/content/src/nsSVGNumberList.cpp</t>
  </si>
  <si>
    <t>content/svg/content/src/nsSVGPathSegList.cpp</t>
  </si>
  <si>
    <t>content/svg/content/src/nsSVGPointList.cpp</t>
  </si>
  <si>
    <t>content/svg/content/src/nsSVGTransformList.cpp</t>
  </si>
  <si>
    <t>content/base/src/nsGenericElement.cpp</t>
  </si>
  <si>
    <t>content/html/content/src/nsHTMLButtonElement.cpp</t>
  </si>
  <si>
    <t>content/html/content/src/nsHTMLInputElement.cpp</t>
  </si>
  <si>
    <t>content/svg/content/src/nsSVGSVGElement.cpp</t>
  </si>
  <si>
    <t>content/xml/document/src/nsXMLContentSink.cpp</t>
  </si>
  <si>
    <t>layout/forms/nsComboboxControlFrame.cpp</t>
  </si>
  <si>
    <t>layout/forms/nsListControlFrame.cpp</t>
  </si>
  <si>
    <t>layout/forms/nsTextControlFrame.cpp</t>
  </si>
  <si>
    <t>layout/xul/base/src/nsButtonBoxFrame.cpp</t>
  </si>
  <si>
    <t>layout/xul/base/src/nsMenuFrame.cpp</t>
  </si>
  <si>
    <t>gfx/angle/angle-amap-arev-fix.patch</t>
  </si>
  <si>
    <t>gfx/gl/GLContext.h</t>
  </si>
  <si>
    <t>xpcom/string/nsTSubstring.cpp</t>
  </si>
  <si>
    <t>xpcom/string/nsTSubstring.h</t>
  </si>
  <si>
    <t>js/src/jit-test/tests/parser/bug-896126.js</t>
  </si>
  <si>
    <t>js/src/jscntxt.cpp</t>
  </si>
  <si>
    <t>js/src/jscompartment.cpp</t>
  </si>
  <si>
    <t>layout/generic/nsTextFrame.h</t>
  </si>
  <si>
    <t>layout/svg/nsSVGTextPathFrame.cpp</t>
  </si>
  <si>
    <t>gfx/angle/angle-line-loop-overflow.patch</t>
  </si>
  <si>
    <t>gfx/angle/src/libGLESv2/IndexDataManager.cpp</t>
  </si>
  <si>
    <t>js/src/jit-test/tests/asm.js/testBug893519.js</t>
  </si>
  <si>
    <t>js/src/jit/AsmJS.cpp</t>
  </si>
  <si>
    <t>layout/generic/nsFrame.cpp</t>
  </si>
  <si>
    <t>js/src/jsobjinlines.h</t>
  </si>
  <si>
    <t>view/src/nsViewManager.cpp</t>
  </si>
  <si>
    <t>js/src/xpconnect/src/xpcquickstubs.cpp</t>
  </si>
  <si>
    <t>layout/generic/nsAbsoluteContainingBlock.cpp</t>
  </si>
  <si>
    <t>layout/generic/nsBlockReflowContext.cpp</t>
  </si>
  <si>
    <t>extensions/universalchardet/src/base/Big5Freq.tab</t>
  </si>
  <si>
    <t>extensions/universalchardet/src/base/CharDistribution.cpp</t>
  </si>
  <si>
    <t>extensions/universalchardet/src/base/EUCKRFreq.tab</t>
  </si>
  <si>
    <t>extensions/universalchardet/src/base/EUCTWFreq.tab</t>
  </si>
  <si>
    <t>extensions/universalchardet/src/base/GB2312Freq.tab</t>
  </si>
  <si>
    <t>extensions/universalchardet/src/base/JISFreq.tab</t>
  </si>
  <si>
    <t>content/canvas/src/WebGLContextGL.cpp</t>
  </si>
  <si>
    <t>content/canvas/src/WebGLContextValidate.cpp</t>
  </si>
  <si>
    <t>content/xslt/src/xslt/txExecutionState.cpp</t>
  </si>
  <si>
    <t>content/xslt/src/xslt/txExecutionState.h</t>
  </si>
  <si>
    <t>content/media/webrtc/MediaEngineDefault.cpp</t>
  </si>
  <si>
    <t>intl/uconv/ucvja/nsJapaneseToUnicode.cpp</t>
  </si>
  <si>
    <t>dom/base/DOMCursor.cpp</t>
  </si>
  <si>
    <t>dom/base/DOMCursor.h</t>
  </si>
  <si>
    <t>dom/base/DOMRequest.cpp</t>
  </si>
  <si>
    <t>dom/base/DOMRequest.h</t>
  </si>
  <si>
    <t>dom/devicestorage/nsDeviceStorage.cpp</t>
  </si>
  <si>
    <t>gfx/graphite2/include/graphite2/Font.h</t>
  </si>
  <si>
    <t>gfx/graphite2/src/CMakeLists.txt</t>
  </si>
  <si>
    <t>gfx/graphite2/src/Pass.cpp</t>
  </si>
  <si>
    <t>gfx/graphite2/src/inc/Machine.h</t>
  </si>
  <si>
    <t>gfx/graphite2/src/json.cpp</t>
  </si>
  <si>
    <t>js/src/jsinfer.h</t>
  </si>
  <si>
    <t>image/decoders/nsICODecoder.cpp</t>
  </si>
  <si>
    <t>toolkit/mozapps/update/updater/updater.cpp</t>
  </si>
  <si>
    <t>content/xslt/src/xslt/txStylesheetCompiler.h</t>
  </si>
  <si>
    <t>content/media/webaudio/blink/HRTFPanner.cpp</t>
  </si>
  <si>
    <t>js/src/jit-test/tests/basic/bug714616.js</t>
  </si>
  <si>
    <t>js/src/jsarray.cpp</t>
  </si>
  <si>
    <t>js/src/jsobj.h</t>
  </si>
  <si>
    <t>js/src/jsxml.cpp</t>
  </si>
  <si>
    <t>js/xpconnect/src/XPCWrappedNative.cpp</t>
  </si>
  <si>
    <t>layout/mathml/nsMathMLTokenFrame.cpp</t>
  </si>
  <si>
    <t>layout/mathml/nsMathMLTokenFrame.h</t>
  </si>
  <si>
    <t>layout/mathml/nsMathMLmoFrame.cpp</t>
  </si>
  <si>
    <t>layout/reftests/mathml/reftest.list</t>
  </si>
  <si>
    <t>layout/reftests/mathml/whitespace-trim-1-ref.html</t>
  </si>
  <si>
    <t>layout/reftests/mathml/whitespace-trim-1.html</t>
  </si>
  <si>
    <t>layout/reftests/mathml/whitespace-trim-2-ref.html</t>
  </si>
  <si>
    <t>layout/reftests/mathml/whitespace-trim-2.html</t>
  </si>
  <si>
    <t>layout/reftests/mathml/whitespace-trim-3-ref.html</t>
  </si>
  <si>
    <t>layout/reftests/mathml/whitespace-trim-3.html</t>
  </si>
  <si>
    <t>layout/reftests/mathml/whitespace-trim-4-ref.html</t>
  </si>
  <si>
    <t>layout/reftests/mathml/whitespace-trim-4.html</t>
  </si>
  <si>
    <t>layout/reftests/mathml/whitespace-trim-5-ref.html</t>
  </si>
  <si>
    <t>layout/reftests/mathml/whitespace-trim-5.html</t>
  </si>
  <si>
    <t>dom/base/URL.cpp</t>
  </si>
  <si>
    <t>content/svg/content/src/nsSVGMpathElement.cpp</t>
  </si>
  <si>
    <t>dom/bindings/Codegen.py</t>
  </si>
  <si>
    <t>js/src/jsapi.h</t>
  </si>
  <si>
    <t>js/src/shell/js.cpp</t>
  </si>
  <si>
    <t>layout/mathml/nsMathMLmencloseFrame.cpp</t>
  </si>
  <si>
    <t>arch/x86/include/asm/pgtable.h</t>
  </si>
  <si>
    <t>net/netfilter/ipvs/ip_vs_ctl.c</t>
  </si>
  <si>
    <t>net/can/bcm.c</t>
  </si>
  <si>
    <t>drivers/hv/hv_kvp.c</t>
  </si>
  <si>
    <t>fs/fat/namei_vfat.c</t>
  </si>
  <si>
    <t>fs/nls/nls_base.c</t>
  </si>
  <si>
    <t>include/linux/nls.h</t>
  </si>
  <si>
    <t>kernel/trace/trace_syscalls.c</t>
  </si>
  <si>
    <t>net/bluetooth/l2cap.c</t>
  </si>
  <si>
    <t>net/bluetooth/rfcomm/core.c</t>
  </si>
  <si>
    <t>net/bluetooth/rfcomm/sock.c</t>
  </si>
  <si>
    <t>net/bluetooth/sco.c</t>
  </si>
  <si>
    <t>fs/cifs/cifsglob.h</t>
  </si>
  <si>
    <t>fs/cifs/cifsproto.h</t>
  </si>
  <si>
    <t>fs/cifs/cifssmb.c</t>
  </si>
  <si>
    <t>fs/cifs/connect.c</t>
  </si>
  <si>
    <t>fs/cifs/file.c</t>
  </si>
  <si>
    <t>fs/cifs/sess.c</t>
  </si>
  <si>
    <t>fs/cifs/transport.c</t>
  </si>
  <si>
    <t>fs/jbd2/transaction.c</t>
  </si>
  <si>
    <t>include/linux/security.h</t>
  </si>
  <si>
    <t>fs/udf/super.c</t>
  </si>
  <si>
    <t>arch/um/kernel/exitcode.c</t>
  </si>
  <si>
    <t>lib/lzo/lzo1x_decompress_safe.c</t>
  </si>
  <si>
    <t>net/wireless/nl80211.c</t>
  </si>
  <si>
    <t>include/linux/netdevice.h</t>
  </si>
  <si>
    <t>net/core/dev.c</t>
  </si>
  <si>
    <t>net/netfilter/nf_nat_irc.c</t>
  </si>
  <si>
    <t>net/sunrpc/sysctl.c</t>
  </si>
  <si>
    <t>net/ipv6/ip6_output.c</t>
  </si>
  <si>
    <t>drivers/isdn/hisax/hfc_usb.c</t>
  </si>
  <si>
    <t>fs/nfsd/nfs4xdr.c</t>
  </si>
  <si>
    <t>fs/cifs/asn1.c</t>
  </si>
  <si>
    <t>net/ipv4/netfilter/nf_nat_snmp_basic.c</t>
  </si>
  <si>
    <t>fs/binfmt_flat.c</t>
  </si>
  <si>
    <t>drivers/net/tun.c</t>
  </si>
  <si>
    <t>drivers/usb/misc/iowarrior.c</t>
  </si>
  <si>
    <t>drivers/net/wireless/libertas/scan.c</t>
  </si>
  <si>
    <t>drivers/hid/hid-cherry.c</t>
  </si>
  <si>
    <t>drivers/hid/hid-kye.c</t>
  </si>
  <si>
    <t>drivers/hid/hid-lg.c</t>
  </si>
  <si>
    <t>drivers/hid/hid-monterey.c</t>
  </si>
  <si>
    <t>drivers/hid/hid-petalynx.c</t>
  </si>
  <si>
    <t>drivers/hid/hid-sunplus.c</t>
  </si>
  <si>
    <t>sound/oss/opl3.c</t>
  </si>
  <si>
    <t>drivers/hid/hid-logitech-dj.c</t>
  </si>
  <si>
    <t>drivers/vhost/scsi.c</t>
  </si>
  <si>
    <t>fs/ecryptfs/keystore.c</t>
  </si>
  <si>
    <t>fs/gfs2/bmap.c</t>
  </si>
  <si>
    <t>fs/gfs2/file.c</t>
  </si>
  <si>
    <t>fs/gfs2/incore.h</t>
  </si>
  <si>
    <t>net/nfc/nci/ntf.c</t>
  </si>
  <si>
    <t>drivers/usb/serial/whiteheat.c</t>
  </si>
  <si>
    <t>drivers/s390/net/qeth_core_main.c</t>
  </si>
  <si>
    <t>kernel/posix-timers.c</t>
  </si>
  <si>
    <t>include/linux/sched.h</t>
  </si>
  <si>
    <t>net/unix/af_unix.c</t>
  </si>
  <si>
    <t>net/unix/garbage.c</t>
  </si>
  <si>
    <t>drivers/net/ethernet/broadcom/tg3.c</t>
  </si>
  <si>
    <t>drivers/infiniband/core/uverbs_cmd.c</t>
  </si>
  <si>
    <t>drivers/uio/uio.c</t>
  </si>
  <si>
    <t>drivers/video/au1100fb.c</t>
  </si>
  <si>
    <t>drivers/video/au1200fb.c</t>
  </si>
  <si>
    <t>include/asm-x86/desc.h</t>
  </si>
  <si>
    <t>fs/fuse/file.c</t>
  </si>
  <si>
    <t>include/linux/mm.h</t>
  </si>
  <si>
    <t>kernel/sysctl.c</t>
  </si>
  <si>
    <t>mm/Kconfig</t>
  </si>
  <si>
    <t>mm/mmap.c</t>
  </si>
  <si>
    <t>mm/nommu.c</t>
  </si>
  <si>
    <t>security/Kconfig</t>
  </si>
  <si>
    <t>security/Makefile</t>
  </si>
  <si>
    <t>security/commoncap.c</t>
  </si>
  <si>
    <t>security/min_addr.c</t>
  </si>
  <si>
    <t>security/selinux/hooks.c</t>
  </si>
  <si>
    <t>kernel/cred.c</t>
  </si>
  <si>
    <t>arch/parisc/kernel/traps.c</t>
  </si>
  <si>
    <t>kernel/futex.c</t>
  </si>
  <si>
    <t>fs/cifs/readdir.c</t>
  </si>
  <si>
    <t>drivers/watchdog/ib700wdt.c</t>
  </si>
  <si>
    <t>security/capability.c</t>
  </si>
  <si>
    <t>fs/nfs/nfs4proc.c</t>
  </si>
  <si>
    <t>drivers/hid/hid-picolcd_core.c</t>
  </si>
  <si>
    <t>net/key/af_key.c</t>
  </si>
  <si>
    <t>net/ipv4/cipso_ipv4.c</t>
  </si>
  <si>
    <t>fs/proc/root.c</t>
  </si>
  <si>
    <t>fs/nfsd/nfs4acl.c</t>
  </si>
  <si>
    <t>drivers/usb/chipidea/host.c</t>
  </si>
  <si>
    <t>net/ipv4/netfilter/ipt_CLUSTERIP.c</t>
  </si>
  <si>
    <t>drivers/staging/ozwpan/ozusbsvc1.c</t>
  </si>
  <si>
    <t>arch/x86/mm/fault.c</t>
  </si>
  <si>
    <t>net/sctp/sm_statefuns.c</t>
  </si>
  <si>
    <t>arch/x86/kvm/x86.c</t>
  </si>
  <si>
    <t>fs/udf/symlink.c</t>
  </si>
  <si>
    <t>net/econet/af_econet.c</t>
  </si>
  <si>
    <t>fs/ecryptfs/messaging.c</t>
  </si>
  <si>
    <t>security/dummy.c</t>
  </si>
  <si>
    <t>fs/cifs/CHANGES</t>
  </si>
  <si>
    <t>net/batman-adv/icmp_socket.c</t>
  </si>
  <si>
    <t>drivers/staging/wlags49_h2/wl_priv.c</t>
  </si>
  <si>
    <t>drivers/net/macvtap.c</t>
  </si>
  <si>
    <t>net/ipv4/tcp.c</t>
  </si>
  <si>
    <t>net/ipv4/ip_fragment.c</t>
  </si>
  <si>
    <t>drivers/usb/class/cdc-wdm.c</t>
  </si>
  <si>
    <t>net/socket.c</t>
  </si>
  <si>
    <t>fs/fuse/dev.c</t>
  </si>
  <si>
    <t>net/ceph/auth_x.c</t>
  </si>
  <si>
    <t>drivers/staging/ozwpan/ozcdev.c</t>
  </si>
  <si>
    <t>arch/ia64/include/asm/compat.h</t>
  </si>
  <si>
    <t>arch/mips/include/asm/compat.h</t>
  </si>
  <si>
    <t>arch/parisc/include/asm/compat.h</t>
  </si>
  <si>
    <t>arch/powerpc/include/asm/compat.h</t>
  </si>
  <si>
    <t>arch/s390/include/asm/compat.h</t>
  </si>
  <si>
    <t>arch/sparc/include/asm/compat.h</t>
  </si>
  <si>
    <t>arch/tile/include/asm/compat.h</t>
  </si>
  <si>
    <t>arch/x86/include/asm/compat.h</t>
  </si>
  <si>
    <t>include/linux/compat.h</t>
  </si>
  <si>
    <t>kernel/compat.c</t>
  </si>
  <si>
    <t>drivers/hid/hid-magicmouse.c</t>
  </si>
  <si>
    <t>drivers/net/wireless/b43/dma.c</t>
  </si>
  <si>
    <t>drivers/net/wireless/b43/dma.h</t>
  </si>
  <si>
    <t>security/keys/keyring.c</t>
  </si>
  <si>
    <t>fs/partitions/ldm.c</t>
  </si>
  <si>
    <t>arch/x86/crypto/aesni-intel_glue.c</t>
  </si>
  <si>
    <t>include/linux/syslog.h</t>
  </si>
  <si>
    <t>kernel/printk.c</t>
  </si>
  <si>
    <t>drivers/target/iscsi/iscsi_target_parameters.c</t>
  </si>
  <si>
    <t>drivers/target/iscsi/iscsi_target_parameters.h</t>
  </si>
  <si>
    <t>net/ipv6/tcp_ipv6.c</t>
  </si>
  <si>
    <t>net/irda/iriap.c</t>
  </si>
  <si>
    <t>fs/hfs/catalog.c</t>
  </si>
  <si>
    <t>sound/oss/soundcard.c</t>
  </si>
  <si>
    <t>drivers/media/radio/si4713-i2c.c</t>
  </si>
  <si>
    <t>fs/udf/inode.c</t>
  </si>
  <si>
    <t>sound/usb/caiaq/audio.c</t>
  </si>
  <si>
    <t>sound/usb/caiaq/midi.c</t>
  </si>
  <si>
    <t>drivers/isdn/i4l/isdn_common.c</t>
  </si>
  <si>
    <t>arch/x86/kvm/i8254.c</t>
  </si>
  <si>
    <t>drivers/net/niu.c</t>
  </si>
  <si>
    <t>fs/hfsplus/catalog.c</t>
  </si>
  <si>
    <t>drivers/media/usb/ttusb-dec/ttusbdecfe.c</t>
  </si>
  <si>
    <t>virt/kvm/irq_comm.c</t>
  </si>
  <si>
    <t>net/wireless/radiotap.c</t>
  </si>
  <si>
    <t>arch/x86/kernel/cpu/microcode/intel_early.c</t>
  </si>
  <si>
    <t>fs/partitions/efi.c</t>
  </si>
  <si>
    <t>fs/partitions/mac.c</t>
  </si>
  <si>
    <t>net/wireless/scan.c</t>
  </si>
  <si>
    <t>drivers/net/r8169.c</t>
  </si>
  <si>
    <t>xen/arch/x86/domain.c</t>
  </si>
  <si>
    <t>xen/common/compat/domain.c</t>
  </si>
  <si>
    <t>xen/common/domain.c</t>
  </si>
  <si>
    <t>xen/common/domctl.c</t>
  </si>
  <si>
    <t>xen/arch/x86/mm.c</t>
  </si>
  <si>
    <t>xen/arch/x86/traps.c</t>
  </si>
  <si>
    <t>xen/arch/x86/x86_64/compat/mm.c</t>
  </si>
  <si>
    <t>xen/arch/arm/traps.c</t>
  </si>
  <si>
    <t>xen/arch/x86/domctl.c</t>
  </si>
  <si>
    <t>xen/arch/x86/hvm/hvm.c</t>
  </si>
  <si>
    <t>tools/ocaml/libs/xc/xenctrl_stubs.c</t>
  </si>
  <si>
    <t>tools/python/xen/lowlevel/xc/xc.c</t>
  </si>
  <si>
    <t>xen/arch/arm/domain.c</t>
  </si>
  <si>
    <t>xen/arch/x86/hvm/vlapic.c</t>
  </si>
  <si>
    <t>xen/include/asm-x86/mm.h</t>
  </si>
  <si>
    <t>xen/include/xen/domain.h</t>
  </si>
  <si>
    <t>xen/include/xen/sched.h</t>
  </si>
  <si>
    <t>xen/include/asm-x86/domain.h</t>
  </si>
  <si>
    <t>tools/ocaml/xenstored/connection.ml</t>
  </si>
  <si>
    <t>tools/xenstore/xenstored_core.c</t>
  </si>
  <si>
    <t>xen/include/public/io/xs_wire.h</t>
  </si>
  <si>
    <t>xen/common/page_alloc.c</t>
  </si>
  <si>
    <t>Defect Type</t>
  </si>
  <si>
    <t>Assignment/Initialization</t>
  </si>
  <si>
    <t>*</t>
  </si>
  <si>
    <t>*: these are the options listed in ﻿Morrison2018</t>
  </si>
  <si>
    <t>Checking</t>
  </si>
  <si>
    <t>Timing</t>
  </si>
  <si>
    <t>Algorithm/Method</t>
  </si>
  <si>
    <t>Function</t>
  </si>
  <si>
    <t>Interface</t>
  </si>
  <si>
    <t>Defect Qualifier</t>
  </si>
  <si>
    <t>Missing</t>
  </si>
  <si>
    <t>Incorrect</t>
  </si>
  <si>
    <t>Extraneous</t>
  </si>
  <si>
    <t>(removing unnecessary code)</t>
  </si>
  <si>
    <t>Contagem de Defect Type</t>
  </si>
  <si>
    <t>(em branco)</t>
  </si>
  <si>
    <t>Assignment/Initiatialization</t>
  </si>
  <si>
    <t>Linux</t>
  </si>
  <si>
    <t>Mozilla</t>
  </si>
  <si>
    <t>Xen</t>
  </si>
  <si>
    <t>Contagem de Defect Qualifier</t>
  </si>
  <si>
    <t>Consolidated</t>
  </si>
  <si>
    <t>V_ID</t>
  </si>
  <si>
    <t>Project</t>
  </si>
  <si>
    <t>CVE</t>
  </si>
  <si>
    <t>V_CLASSIFICATION</t>
  </si>
  <si>
    <t># Files</t>
  </si>
  <si>
    <t>CVE-Title</t>
  </si>
  <si>
    <t>Tempo</t>
  </si>
  <si>
    <t>URL</t>
  </si>
  <si>
    <t>Classified Together</t>
  </si>
  <si>
    <t>Comments</t>
  </si>
  <si>
    <t>Filename</t>
  </si>
  <si>
    <t>vuln635mzl</t>
  </si>
  <si>
    <t>&gt;DenialOfService&lt;&gt;ExecuteCode&lt;&gt;Overflow&lt;&gt;Memorycorruption&lt;</t>
  </si>
  <si>
    <t>20 minutos, 15 primeiros</t>
  </si>
  <si>
    <t>https://github.com/mozilla/gecko-dev/commit/0ee094d218e6050d34f97eeaac2217faa7c56237</t>
  </si>
  <si>
    <t>ok</t>
  </si>
  <si>
    <t>vuln782mzl</t>
  </si>
  <si>
    <t>https://github.com/mozilla/gecko-dev/commit/08b448d9dd814dab7889deb0abb13e0f155024f7</t>
  </si>
  <si>
    <t>vuln884mzl</t>
  </si>
  <si>
    <t>https://github.com/mozilla/gecko-dev/commit/6517a01b635b15e935427ac5c23f7ec394cb7bd2</t>
  </si>
  <si>
    <t>vuln933mzl</t>
  </si>
  <si>
    <t>https://github.com/mozilla/gecko-dev/commit/35c7952dbd1badc04cd1bb96480676c9077f8805</t>
  </si>
  <si>
    <t>vuln944mzl</t>
  </si>
  <si>
    <t>https://github.com/mozilla/gecko-dev/commit/ef586f15354a3dfadda2e65df08bd58558e9efba</t>
  </si>
  <si>
    <t>Another block from the same vulnerability of previous line</t>
  </si>
  <si>
    <t>vuln970mzl</t>
  </si>
  <si>
    <t>&gt;ExecuteCode&lt;&gt;Overflow&lt;</t>
  </si>
  <si>
    <t>https://github.com/mozilla/gecko-dev/commit/e2d46b52f2fa80d20cf89e60372dbca1444ac6ff</t>
  </si>
  <si>
    <t>vuln972mzl</t>
  </si>
  <si>
    <t>&gt;DenialOfService&lt;&gt;ExecuteCode&lt;&gt;Overflow&lt;</t>
  </si>
  <si>
    <t>https://github.com/mozilla/gecko-dev/commit/44e12bf078153a8ee665632c44569a4ab7ff1de2</t>
  </si>
  <si>
    <t>no</t>
  </si>
  <si>
    <t>vuln1010mzl</t>
  </si>
  <si>
    <t>https://github.com/mozilla/gecko-dev/commit/a8247109148742d867d85e43f64c85bc0f855e0d</t>
  </si>
  <si>
    <t>vuln1044mzl</t>
  </si>
  <si>
    <t>https://github.com/mozilla/gecko-dev/commit/4798ee08d2de3dfa6e972f60ffe305260f915076</t>
  </si>
  <si>
    <t>vuln1049mzl</t>
  </si>
  <si>
    <t>https://github.com/mozilla/gecko-dev/commit/702b90e2aad4199675c3d0d951e00b77cde895ed</t>
  </si>
  <si>
    <t>vuln1106mzl</t>
  </si>
  <si>
    <t>https://github.com/mozilla/gecko-dev/commit/0f63056d1e8fdffd91e186e87d1fa153823b51cf</t>
  </si>
  <si>
    <t>It has assignment-missing, assignment-incorrect, checking-missing.</t>
  </si>
  <si>
    <t xml:space="preserve">modules/libpr0n/src/RasterImage.cpp </t>
  </si>
  <si>
    <t>vuln1244mzl</t>
  </si>
  <si>
    <t>https://github.com/mozilla/gecko-dev/commit/6d8c3d6fdc3764024da2df6b474760ce3a0a5337</t>
  </si>
  <si>
    <t>vuln1245mzl</t>
  </si>
  <si>
    <t>https://github.com/mozilla/gecko-dev/commit/5dae9ec03ce9a864a8d07f73814980e20f2da305</t>
  </si>
  <si>
    <t>vuln1249mzl</t>
  </si>
  <si>
    <t>https://github.com/mozilla/gecko-dev/commit/7334d9a749078e9e7e6a2e42dba341b7728b06cd</t>
  </si>
  <si>
    <t>vuln1266mzl</t>
  </si>
  <si>
    <t>&gt;DenialOfService&lt;&gt;Overflow&lt;&gt;Memorycorruption&lt;</t>
  </si>
  <si>
    <t>https://github.com/mozilla/gecko-dev/commit/a16a44393d62c68c5aded9e6e282c5ac4fb3e496</t>
  </si>
  <si>
    <t xml:space="preserve">js/src/jsinterp.cpp </t>
  </si>
  <si>
    <t>vuln1260mzl</t>
  </si>
  <si>
    <t>https://github.com/mozilla/gecko-dev/commit/bfea94bf48feaee076ec69afa5e04ab6340900af</t>
  </si>
  <si>
    <t>vuln1263mzl</t>
  </si>
  <si>
    <t>https://github.com/mozilla/gecko-dev/commit/f54fef5b48eae68d6853878d130f507943b44ea6</t>
  </si>
  <si>
    <t>vuln1374mzl</t>
  </si>
  <si>
    <t>https://github.com/mozilla/gecko-dev/commit/2fe7e85cb5ff9b4380d5ac7698a5503e6cb2d8a3</t>
  </si>
  <si>
    <t>vuln1376mzl</t>
  </si>
  <si>
    <t>https://github.com/mozilla/gecko-dev/commit/4f5c44a7c8bca9e09b6ca1119c5ee8d549664061</t>
  </si>
  <si>
    <t>vuln1441mzl</t>
  </si>
  <si>
    <t>https://github.com/mozilla/gecko-dev/commit/2cecb6cdcb9357c4d9630ec29f0c4a2915ba97fd</t>
  </si>
  <si>
    <t>vuln1388mzl</t>
  </si>
  <si>
    <t>x</t>
  </si>
  <si>
    <t>https://github.com/mozilla/gecko-dev/commit/a75320f68f215da68675e24bd0ca8d8a4bcc3ddf</t>
  </si>
  <si>
    <t>vuln1485mzl</t>
  </si>
  <si>
    <t>16 minutos, 15 itens</t>
  </si>
  <si>
    <t>https://github.com/mozilla/gecko-dev/commit/a6ab39295bcfdcbac50e10a3c6580614a78c5220</t>
  </si>
  <si>
    <t>This adds a new parameter to a Function</t>
  </si>
  <si>
    <t>vuln1494mzl</t>
  </si>
  <si>
    <t>https://github.com/mozilla/gecko-dev/commit/2f3ba5d8677cb0f94e7e661fb1ac304517080831</t>
  </si>
  <si>
    <t>Several refactorings, only one change (line 133). The other file had only comments changed.</t>
  </si>
  <si>
    <t>vuln1495mzl</t>
  </si>
  <si>
    <t>https://github.com/mozilla/gecko-dev/commit/d983bcfd9a86bdf2b15e0f17ffe1f3eb0ec65e06</t>
  </si>
  <si>
    <t>vuln1501mzl</t>
  </si>
  <si>
    <t>https://github.com/mozilla/gecko-dev/commit/d8508b65264248f5e54e5db3f6f665b8a450bf11</t>
  </si>
  <si>
    <t xml:space="preserve">gfx/graphite2/src/json.cpp </t>
  </si>
  <si>
    <t>vuln1530mzl</t>
  </si>
  <si>
    <t>https://github.com/mozilla/gecko-dev/commit/7392016e43ea8e0dc1e089a08a9494199f19d067</t>
  </si>
  <si>
    <t>vuln1533mzl</t>
  </si>
  <si>
    <t>https://github.com/mozilla/gecko-dev/commit/eaf17aa9a97d9b0fc2b2dd835bb942f4f9d3d075</t>
  </si>
  <si>
    <t>10 HTML files were ignored</t>
  </si>
  <si>
    <t>vuln1539mzl</t>
  </si>
  <si>
    <t>https://github.com/mozilla/gecko-dev/commit/8a00ae3b10367e4225704564406fe1800e60ecc5</t>
  </si>
  <si>
    <t>Not sure if this is the correct one (a macro was used before, now if)</t>
  </si>
  <si>
    <t>vuln1536mzl</t>
  </si>
  <si>
    <t>https://github.com/mozilla/gecko-dev/commit/604c4f2ddd1a10d5c93617bf253741cca79cab8f</t>
  </si>
  <si>
    <t>This also adds a checking with the assigned variable</t>
  </si>
  <si>
    <t>vuln1537mzl</t>
  </si>
  <si>
    <t>https://github.com/mozilla/gecko-dev/commit/58bddec457f3bd26fe58c7380ef8b88e073d9f81</t>
  </si>
  <si>
    <t>vuln1538mzl</t>
  </si>
  <si>
    <t>https://github.com/mozilla/gecko-dev/commit/54343582174a44aa841117b2ef6f635ea8997212</t>
  </si>
  <si>
    <t>The invocation of a method is done...</t>
  </si>
  <si>
    <t>vuln1541mzl</t>
  </si>
  <si>
    <t>https://github.com/mozilla/gecko-dev/commit/37e10f63608828fd4693974bc169fb6f0e2b228e</t>
  </si>
  <si>
    <t xml:space="preserve">gfx/cairo/cairo/src/cairo-ft-font.c </t>
  </si>
  <si>
    <t>vuln1542mzl</t>
  </si>
  <si>
    <t>https://github.com/mozilla/gecko-dev/commit/004dd20c078c42719f22f92c0d4356c240ff7595</t>
  </si>
  <si>
    <t>A new break is added</t>
  </si>
  <si>
    <t>vuln1615mzl</t>
  </si>
  <si>
    <t>https://github.com/mozilla/gecko-dev/commit/cc987a78b883b2fc328b5113e7bde64ec95473f2</t>
  </si>
  <si>
    <t>Several constants were removed</t>
  </si>
  <si>
    <t>vuln1613mzl</t>
  </si>
  <si>
    <t>https://github.com/mozilla/gecko-dev/commit/ad6712b14baeb9faf1f89e65794f7e059c4ef2cb</t>
  </si>
  <si>
    <t>ternary</t>
  </si>
  <si>
    <t>vuln1617mzl</t>
  </si>
  <si>
    <t>https://github.com/mozilla/gecko-dev/commit/6c30e7017ecc1ac03bcd6dcd576132b08d983f63</t>
  </si>
  <si>
    <t>vuln1659mzl</t>
  </si>
  <si>
    <t>&gt;DenialOfService&lt;&gt;Overflow&lt;&gt;ObtainInformation&lt;</t>
  </si>
  <si>
    <t>https://github.com/mozilla/gecko-dev/commit/1c7e6d70e5ba71e0f001b5e5987bc3e9250de7c1</t>
  </si>
  <si>
    <t>vuln1668mzl</t>
  </si>
  <si>
    <t>https://github.com/mozilla/gecko-dev/commit/bcece6a3cbd6376254d45ab65ea1502a55deaa3d</t>
  </si>
  <si>
    <t>vuln1670mzl</t>
  </si>
  <si>
    <t>https://github.com/mozilla/gecko-dev/commit/3276584f22a47352f79a016ed872f05bdc17ffcb</t>
  </si>
  <si>
    <t>A checking is also added...</t>
  </si>
  <si>
    <t>vuln1697mzl</t>
  </si>
  <si>
    <t>&gt;Overflow&lt;&gt;Gainprivileges&lt;</t>
  </si>
  <si>
    <t>https://github.com/mozilla/gecko-dev/commit/7893caea6b672bed561eddb538210fe3623bea75</t>
  </si>
  <si>
    <t>This seems like a case that would have been detected by SATs</t>
  </si>
  <si>
    <t>vuln1736mzl</t>
  </si>
  <si>
    <t>&gt;Overflow&lt;&gt;ObtainInformation&lt;</t>
  </si>
  <si>
    <t>https://github.com/mozilla/gecko-dev/commit/085004cc6a7b6741743a39949d192049fbc4bc9c</t>
  </si>
  <si>
    <t>This seems like new super classes are added to this class</t>
  </si>
  <si>
    <t>vuln1742mzl</t>
  </si>
  <si>
    <t>https://github.com/mozilla/gecko-dev/commit/050414e94b197bc129065b587755848625a2443f</t>
  </si>
  <si>
    <t>Not sure if the const becoming a variable should have a different classification</t>
  </si>
  <si>
    <t>vuln1763mzl</t>
  </si>
  <si>
    <t>https://github.com/mozilla/gecko-dev/commit/027b891ee8735e38a77da3a307b832323b93a1ea</t>
  </si>
  <si>
    <t>vuln1789mzl</t>
  </si>
  <si>
    <t>https://github.com/mozilla/gecko-dev/commit/9425d9154f641cfe6f0e8188473f795451896f78</t>
  </si>
  <si>
    <t>vuln1788mzl</t>
  </si>
  <si>
    <t>https://github.com/mozilla/gecko-dev/commit/da6dc97eddc63f4b00c754645861ce4175a1ee4c</t>
  </si>
  <si>
    <t>first part of the patch</t>
  </si>
  <si>
    <t>vuln1822mzl</t>
  </si>
  <si>
    <t>https://github.com/mozilla/gecko-dev/commit/b270538a1fa0033dd54121c286d71b994d3c38ea</t>
  </si>
  <si>
    <t>vuln1824mzl</t>
  </si>
  <si>
    <t>&gt;DenialOfService&lt;&gt;Overflow&lt;</t>
  </si>
  <si>
    <t>https://github.com/mozilla/gecko-dev/commit/5aaae31bae1ad32da721802cbcb3ad66d87f2029</t>
  </si>
  <si>
    <t xml:space="preserve">widget/windows/KeyboardLayout.cpp </t>
  </si>
  <si>
    <t>vuln1833mzl</t>
  </si>
  <si>
    <t>https://github.com/mozilla/gecko-dev/commit/e5aa530506ddc09ef0ef88a9563bfe918f26c4da</t>
  </si>
  <si>
    <t>This is a function call that changed to another line.</t>
  </si>
  <si>
    <t>vuln1835mzl</t>
  </si>
  <si>
    <t>https://github.com/mozilla/gecko-dev/commit/92e4e0683f0bfcc9ae3190320c4b0fd9949d9bd0</t>
  </si>
  <si>
    <t>Wrong object property was being considered.</t>
  </si>
  <si>
    <t>vuln1850mzl</t>
  </si>
  <si>
    <t>https://github.com/mozilla/gecko-dev/commit/87703497c0d709ee817d819d274b915fbcc3cbce</t>
  </si>
  <si>
    <t>vuln1848mzl</t>
  </si>
  <si>
    <t>https://github.com/mozilla/gecko-dev/commit/cee64ab415e7abb505717e3338b33a8983b0e022</t>
  </si>
  <si>
    <t>vuln1955mzl</t>
  </si>
  <si>
    <t>&gt;DenialOfService&lt;&gt;Overflow&lt;&gt;Bypassarestrictionorsimilar&lt;&gt;ObtainInformation&lt;</t>
  </si>
  <si>
    <t>https://github.com/mozilla/gecko-dev/commit/fcfb3ebfa23ac631c7873daf085c280c4b3f6017</t>
  </si>
  <si>
    <t>vuln1984mzl</t>
  </si>
  <si>
    <t>https://github.com/mozilla/gecko-dev/commit/39e49aca403cb282a19a4b38a130d3628b8f19b0</t>
  </si>
  <si>
    <t>dom/xbl/nsXBLBinding.cpp, dom/xbl/nsXBLService.h</t>
  </si>
  <si>
    <t>vuln1987mzl</t>
  </si>
  <si>
    <t>https://github.com/mozilla/gecko-dev/commit/773231a5654d7fb297c9a21cd3daf16775115c62</t>
  </si>
  <si>
    <t>vuln2026mzl</t>
  </si>
  <si>
    <t>https://github.com/mozilla/gecko-dev/commit/0556e96340b92579b3714b0e81f589b6be6ed260</t>
  </si>
  <si>
    <t>vuln2240mzl</t>
  </si>
  <si>
    <t>https://github.com/mozilla/gecko-dev/commit/5a0c7ef7a261631d3cbde70536d6c1640637befe</t>
  </si>
  <si>
    <t>Related to the while condition</t>
  </si>
  <si>
    <t>vuln2316mzl</t>
  </si>
  <si>
    <t>https://github.com/mozilla/gecko-dev/commit/a83190329b84e5778309bbd80f7ac01b33193fd9</t>
  </si>
  <si>
    <t>This is not a trivial checking-missing as part of the code is changed.</t>
  </si>
  <si>
    <t>vuln2306mzl</t>
  </si>
  <si>
    <t>https://github.com/mozilla/gecko-dev/commit/7daf7f3676c49a2f1360a98933b80684ab4e431d</t>
  </si>
  <si>
    <t>ker882v</t>
  </si>
  <si>
    <t>https://github.com/torvalds/linux/commit/d35690beda1429544d46c8eb34b2e3a8c37ab299</t>
  </si>
  <si>
    <t>ker860v</t>
  </si>
  <si>
    <t>https://github.com/torvalds/linux/commit/133672efbc1085f9af990bdc145e1822ea93bcf3</t>
  </si>
  <si>
    <t>Some of the changes are refactoring to use constants instead of literals.</t>
  </si>
  <si>
    <t>ker862v</t>
  </si>
  <si>
    <t>https://github.com/torvalds/linux/commit/eafe1aa37e6ec2d56f14732b5240c4dd09f0613a</t>
  </si>
  <si>
    <t>ker815v</t>
  </si>
  <si>
    <t>&gt;DenialOfService&lt;&gt;Overflow&lt;&gt;Gainprivileges&lt;</t>
  </si>
  <si>
    <t>https://github.com/torvalds/linux/commit/74454a6a286bfce4bb23d89bd465f856fa6a6e19</t>
  </si>
  <si>
    <t>This commit does not belong to any branch.</t>
  </si>
  <si>
    <t>ker831v</t>
  </si>
  <si>
    <t>&gt;Overflow&lt;</t>
  </si>
  <si>
    <t>https://github.com/torvalds/linux/commit/27df6f25ff218072e0e879a96beeb398a79cdbc8</t>
  </si>
  <si>
    <t>ker832v</t>
  </si>
  <si>
    <t>https://github.com/torvalds/linux/commit/91b80969ba466ba4b915a4a1d03add8c297add3f</t>
  </si>
  <si>
    <t>ker781v</t>
  </si>
  <si>
    <t>https://github.com/torvalds/linux/commit/efc7ffcb4237f8cb9938909041c4ed38f6e1bf40</t>
  </si>
  <si>
    <t>ker773v</t>
  </si>
  <si>
    <t>https://github.com/torvalds/linux/commit/d38b7aa7fc3371b52d036748028db50b585ade2e</t>
  </si>
  <si>
    <t>ker784v</t>
  </si>
  <si>
    <t>https://github.com/torvalds/linux/commit/48735d8d8bd701b1e0cd3d49c21e5e385ddcb077</t>
  </si>
  <si>
    <t>not sure about this one...</t>
  </si>
  <si>
    <t>ker807v</t>
  </si>
  <si>
    <t>https://github.com/torvalds/linux/commit/7a3f5134a8f5bd7fa38b5645eef05e8a4eb62951</t>
  </si>
  <si>
    <t>not sure if I should split this in several classifications.</t>
  </si>
  <si>
    <t>ker780v</t>
  </si>
  <si>
    <t>https://github.com/torvalds/linux/commit/7c2500f17d65092d93345f3996cf82ebca17e9ff</t>
  </si>
  <si>
    <t>ker791v</t>
  </si>
  <si>
    <t>https://github.com/torvalds/linux/commit/9fcb95a105758b81ef0131cd18e2db5149f13e95</t>
  </si>
  <si>
    <t>ker806v</t>
  </si>
  <si>
    <t>&gt;DenialOfService&lt;&gt;Overflow&lt;&gt;Gainprivileges&lt;&gt;Memorycorruption&lt;</t>
  </si>
  <si>
    <t>https://github.com/torvalds/linux/commit/9be260a646bf76fa418ee519afa10196b3164681</t>
  </si>
  <si>
    <t>Not sure if this should be two classifications: checking-extraneous, checking-missing.</t>
  </si>
  <si>
    <t>ker809v</t>
  </si>
  <si>
    <t>https://github.com/torvalds/linux/commit/bbf31bf18d34caa87dd01f08bf713635593697f2</t>
  </si>
  <si>
    <t>ker711v</t>
  </si>
  <si>
    <t>https://github.com/torvalds/linux/commit/fdd7b4c3302c93f6833e338903ea77245eb510b4</t>
  </si>
  <si>
    <t>ker736v</t>
  </si>
  <si>
    <t>https://github.com/torvalds/linux/commit/b363b3304bcf68c4541683b2eff70b29f0446a5b</t>
  </si>
  <si>
    <t>ker769v</t>
  </si>
  <si>
    <t>https://github.com/torvalds/linux/commit/3c8a9c63d5fd738c261bd0ceece04d9c8357ca13</t>
  </si>
  <si>
    <t>ker735v</t>
  </si>
  <si>
    <t>https://github.com/torvalds/linux/commit/6352a29305373ae6196491e6d4669f301e26492e</t>
  </si>
  <si>
    <t>ker723v</t>
  </si>
  <si>
    <t>https://github.com/torvalds/linux/commit/f151cd2c54ddc7714e2f740681350476cda03a28</t>
  </si>
  <si>
    <t>ker732v</t>
  </si>
  <si>
    <t>https://github.com/torvalds/linux/commit/70d715fd0597f18528f389b5ac59102263067744</t>
  </si>
  <si>
    <t>ker733v</t>
  </si>
  <si>
    <t>https://github.com/torvalds/linux/commit/3440625d78711bee41a84cf29c3d8c579b522666</t>
  </si>
  <si>
    <t>ker721v</t>
  </si>
  <si>
    <t>https://github.com/torvalds/linux/commit/fcc6cb0c13555e78c2d47257b6d1b5e59b0c419a</t>
  </si>
  <si>
    <t>ker704v</t>
  </si>
  <si>
    <t>https://github.com/torvalds/linux/commit/a9e38c3e01ad242fe2a625354cf065c34b01e3aa</t>
  </si>
  <si>
    <t>ker703v</t>
  </si>
  <si>
    <t>https://github.com/torvalds/linux/commit/286e633ef0ff5bb63c07b4516665da8004966fec</t>
  </si>
  <si>
    <t>ker697v</t>
  </si>
  <si>
    <t>https://github.com/torvalds/linux/commit/101545f6fef4a0a3ea8daf0b5b880df2c6a92a69</t>
  </si>
  <si>
    <t>ker635v</t>
  </si>
  <si>
    <t>https://github.com/torvalds/linux/commit/a6f80fb7b5986fda663d94079d3bba0937a6b6ff</t>
  </si>
  <si>
    <t>not sure if it should be interface incorrect.</t>
  </si>
  <si>
    <t>ker641v</t>
  </si>
  <si>
    <t>https://github.com/torvalds/linux/commit/2bc3c1179c781b359d4f2f3439cb3df72afc17fc</t>
  </si>
  <si>
    <t>ker607v</t>
  </si>
  <si>
    <t>https://github.com/torvalds/linux/commit/c41d68a513c71e35a14f66d71782d27a79a81ea6</t>
  </si>
  <si>
    <t>It seems the methods was implemented in another class. The changed files rename the method.</t>
  </si>
  <si>
    <t>ker606v</t>
  </si>
  <si>
    <t>https://github.com/torvalds/linux/commit/ee9c5cfad29c8a13199962614b9b16f1c4137ac9</t>
  </si>
  <si>
    <t>ker564v</t>
  </si>
  <si>
    <t>https://github.com/torvalds/linux/commit/a27e13d370415add3487949c60810e36069a23a6</t>
  </si>
  <si>
    <t>Not sure if it should have a "assignment-incorrect" too</t>
  </si>
  <si>
    <t>ker575v</t>
  </si>
  <si>
    <t>https://github.com/torvalds/linux/commit/0597d1b99fcfc2c0eada09a698f85ed413d4ba84</t>
  </si>
  <si>
    <t>This is the char[] size that was changed.</t>
  </si>
  <si>
    <t>ker529v</t>
  </si>
  <si>
    <t>&gt;Overflow&lt;&gt;Gainprivileges&lt;&gt;ObtainInformation&lt;</t>
  </si>
  <si>
    <t>https://github.com/torvalds/linux/commit/d81a12bc29ae4038770e05dce4ab7f26fd5880fb</t>
  </si>
  <si>
    <t>ker519v</t>
  </si>
  <si>
    <t>https://github.com/torvalds/linux/commit/7572777eef78ebdee1ecb7c258c0ef94d35bad16</t>
  </si>
  <si>
    <t>ker520v</t>
  </si>
  <si>
    <t>https://github.com/torvalds/linux/commit/3ed780117dbe5acb64280d218f0347f238dafed0</t>
  </si>
  <si>
    <t>ker534v</t>
  </si>
  <si>
    <t>https://github.com/torvalds/linux/commit/eaae55dac6b64c0616046436b294e69fc5311581</t>
  </si>
  <si>
    <t>This seems like a case that would have been detected by SATs (strcpy -&gt; strlcpy)</t>
  </si>
  <si>
    <t>ker544v</t>
  </si>
  <si>
    <t>https://github.com/torvalds/linux/commit/fa7ea87a057958a8b7926c1a60a3ca6d696328ed</t>
  </si>
  <si>
    <t>It could be "Algorithm"-"Incorrect" too</t>
  </si>
  <si>
    <t>ker535v</t>
  </si>
  <si>
    <t>https://github.com/torvalds/linux/commit/7182afea8d1afd432a17c18162cc3fd441d0da93</t>
  </si>
  <si>
    <t>ker476v</t>
  </si>
  <si>
    <t>https://github.com/torvalds/linux/commit/d370af0ef7951188daeb15bae75db7ba57c67846</t>
  </si>
  <si>
    <t>ker488v</t>
  </si>
  <si>
    <t>https://github.com/torvalds/linux/commit/4d00135a680727f6c3be78f8befaac009030e4df</t>
  </si>
  <si>
    <t>ker498v</t>
  </si>
  <si>
    <t>https://github.com/torvalds/linux/commit/fa039d5f6b126fbd65eefa05db2f67e44df8f121</t>
  </si>
  <si>
    <t>20/04</t>
  </si>
  <si>
    <t>ker511v</t>
  </si>
  <si>
    <t>https://github.com/torvalds/linux/commit/cae13fe4cc3f24820ffb990c09110626837e85d4</t>
  </si>
  <si>
    <t>ker421v</t>
  </si>
  <si>
    <t>https://github.com/torvalds/linux/commit/208c72f4fe44fe09577e7975ba0e7fa0278f3d03</t>
  </si>
  <si>
    <t>ker440v</t>
  </si>
  <si>
    <t>https://github.com/torvalds/linux/commit/961ed183a9fd080cf306c659b8736007e44065a5</t>
  </si>
  <si>
    <t>ker454v</t>
  </si>
  <si>
    <t>https://github.com/torvalds/linux/commit/dc6b845044ccb7e9e6f3b7e71bd179b3cf0223b6</t>
  </si>
  <si>
    <t>ker462v</t>
  </si>
  <si>
    <t>https://github.com/torvalds/linux/commit/c2183d1e9b3f313dd8ba2b1b0197c8d9fb86a7ae</t>
  </si>
  <si>
    <t>This is na assignment and an if with a go-to.</t>
  </si>
  <si>
    <t>ker455v</t>
  </si>
  <si>
    <t>https://github.com/torvalds/linux/commit/c85ce65ecac078ab1a1835c87c4a6319cf74660a</t>
  </si>
  <si>
    <t>ker463v</t>
  </si>
  <si>
    <t>https://github.com/torvalds/linux/commit/15291164b22a357cb211b618adfef4fa82fc0de3</t>
  </si>
  <si>
    <t>ker426v</t>
  </si>
  <si>
    <t>https://github.com/torvalds/linux/commit/64dd153c83743af81f20924c6343652d731eeecb</t>
  </si>
  <si>
    <t>ker411v</t>
  </si>
  <si>
    <t>https://github.com/torvalds/linux/commit/b5a1eeef04cc7859f34dec9b72ea1b28e4aba07c</t>
  </si>
  <si>
    <t>This could be assignment-incorrect + interface-incorrect</t>
  </si>
  <si>
    <t>ker412v</t>
  </si>
  <si>
    <t>https://github.com/torvalds/linux/commit/b92946e2919134ebe2a4083e4302236295ea2a73</t>
  </si>
  <si>
    <t>There are checking missing, assignment missing too.</t>
  </si>
  <si>
    <t>ker371v</t>
  </si>
  <si>
    <t>https://github.com/torvalds/linux/commit/905ad269c55fc62bee3da29f7b1d1efeba8aa1e1</t>
  </si>
  <si>
    <t>ker378v</t>
  </si>
  <si>
    <t>https://github.com/torvalds/linux/commit/f2ebd422f71cda9c791f76f85d2ca102ae34a1ed</t>
  </si>
  <si>
    <t>ker396v</t>
  </si>
  <si>
    <t>https://github.com/torvalds/linux/commit/79549c6dfda0603dba9a70a53467ce62d9335c33</t>
  </si>
  <si>
    <t>ker405v</t>
  </si>
  <si>
    <t>https://github.com/torvalds/linux/commit/67de956ff5dc1d4f321e16cfbd63f5be3b691b43</t>
  </si>
  <si>
    <t>ker364v</t>
  </si>
  <si>
    <t>https://github.com/torvalds/linux/commit/027ef6c87853b0a9df53175063028edb4950d476</t>
  </si>
  <si>
    <t>ker320v</t>
  </si>
  <si>
    <t>https://github.com/torvalds/linux/commit/89d7ae34cdda4195809a5a987f697a517a2a3177</t>
  </si>
  <si>
    <t>ker283v</t>
  </si>
  <si>
    <t>https://github.com/torvalds/linux/commit/ce0030c00f95cf9110d9cdcd41e901e1fb814417</t>
  </si>
  <si>
    <t>ker280v</t>
  </si>
  <si>
    <t>https://github.com/torvalds/linux/commit/0720a06a7518c9d0c0125bd5d1f3b6264c55c3dd</t>
  </si>
  <si>
    <t>Method was incorrect (more parameters were added). The other changed files are the invocation of this method.</t>
  </si>
  <si>
    <t xml:space="preserve">fs/nls/nls_base.c </t>
  </si>
  <si>
    <t>ker303v</t>
  </si>
  <si>
    <t>https://github.com/torvalds/linux/commit/c300aa64ddf57d9c5d9c898a64b36877345dd4a9</t>
  </si>
  <si>
    <t>ker293v</t>
  </si>
  <si>
    <t>https://github.com/torvalds/linux/commit/c0f5ecee4e741667b2493c742b60b6218d40b3aa</t>
  </si>
  <si>
    <t>ker275v</t>
  </si>
  <si>
    <t>https://github.com/torvalds/linux/commit/715230a44310a8cf66fbfb5a46f9a62a9b2de424</t>
  </si>
  <si>
    <t>A checking was missing, and two functions were replaced.</t>
  </si>
  <si>
    <t>ker270v</t>
  </si>
  <si>
    <t>https://github.com/torvalds/linux/commit/929473ea05db455ad88cdc081f2adc556b8dc48f</t>
  </si>
  <si>
    <t>ker304v</t>
  </si>
  <si>
    <t>https://github.com/torvalds/linux/commit/baff42ab1494528907bf4d5870359e31711746ae</t>
  </si>
  <si>
    <t>ker292v</t>
  </si>
  <si>
    <t>https://github.com/torvalds/linux/commit/a5cc68f3d63306d0d288f31edfc2ae6ef8ecd887</t>
  </si>
  <si>
    <t>ker290v</t>
  </si>
  <si>
    <t>https://github.com/torvalds/linux/commit/85dfb745ee40232876663ae206cba35f24ab2a40</t>
  </si>
  <si>
    <t>ker269v</t>
  </si>
  <si>
    <t>https://github.com/torvalds/linux/commit/cea4dcfdad926a27a18e188720efe0f2c9403456</t>
  </si>
  <si>
    <t>This seems like a case that would have been detected by SATs (strncpy -&gt; strlcpy)</t>
  </si>
  <si>
    <t xml:space="preserve">drivers/target/iscsi/iscsi_target_parameters.c </t>
  </si>
  <si>
    <t>ker238v</t>
  </si>
  <si>
    <t>&gt;DenialOfService&lt;&gt;Overflow&lt;&gt;Bypassarestrictionorsimilar&lt;</t>
  </si>
  <si>
    <t>https://github.com/torvalds/linux/commit/712f4aad406bb1ed67f3f98d04c044191f0ff593</t>
  </si>
  <si>
    <t>ker226v</t>
  </si>
  <si>
    <t>https://github.com/torvalds/linux/commit/2811ebac2521ceac84f2bdae402455baa6a7fb47</t>
  </si>
  <si>
    <t>The first block: assignment and if (checking) removed.</t>
  </si>
  <si>
    <t>ker198v</t>
  </si>
  <si>
    <t>https://github.com/torvalds/linux/commit/201f99f170df14ba52ea4c52847779042b7a623b</t>
  </si>
  <si>
    <t>An assignment with the minimum value of two variables is done, and this new variable is used in the if-clause</t>
  </si>
  <si>
    <t>ker199v</t>
  </si>
  <si>
    <t>https://github.com/torvalds/linux/commit/c2c65cd2e14ada6de44cb527e7f1990bede24e15</t>
  </si>
  <si>
    <t>ker196v</t>
  </si>
  <si>
    <t>https://github.com/torvalds/linux/commit/b5e2f339865fb443107e5b10603e53bbc92dc054</t>
  </si>
  <si>
    <t>ker224v</t>
  </si>
  <si>
    <t>https://github.com/torvalds/linux/commit/04bcef2a83f40c6db24222b27a52892cba39dffb</t>
  </si>
  <si>
    <t>ker192v</t>
  </si>
  <si>
    <t>https://github.com/torvalds/linux/commit/7d3e91a89b7adbc2831334def9e494dd9892f9af</t>
  </si>
  <si>
    <t>ker212v</t>
  </si>
  <si>
    <t>https://github.com/torvalds/linux/commit/6fb392b1a63ae36c31f62bc3fc8630b49d602b62</t>
  </si>
  <si>
    <t>ker227v</t>
  </si>
  <si>
    <t>https://github.com/torvalds/linux/commit/7314e613d5ff9f0934f7a0f74ed7973b903315d1</t>
  </si>
  <si>
    <t>ker203v</t>
  </si>
  <si>
    <t>https://github.com/torvalds/linux/commit/f5563318ff1bde15b10e736e97ffce13be08bc1a</t>
  </si>
  <si>
    <t>ker218v</t>
  </si>
  <si>
    <t>https://github.com/torvalds/linux/commit/a08d3b3b99efd509133946056531cdf8f3a0c09b</t>
  </si>
  <si>
    <t>== operator changed to &gt;=</t>
  </si>
  <si>
    <t>ker210v</t>
  </si>
  <si>
    <t>&gt;DenialOfService&lt;&gt;Overflow&lt;&gt;Gainprivileges&lt;&gt;Memorycorruption&lt;&gt;ObtainInformation&lt;</t>
  </si>
  <si>
    <t>https://github.com/torvalds/linux/commit/5d81de8e8667da7135d3a32a964087c0faf5483f</t>
  </si>
  <si>
    <t>ker171v</t>
  </si>
  <si>
    <t>https://github.com/torvalds/linux/commit/7ada876a8703f23befbb20a7465a702ee39b1704</t>
  </si>
  <si>
    <t>ker178v</t>
  </si>
  <si>
    <t>https://github.com/torvalds/linux/commit/2690d97ade05c5325cbf7c72b94b90d265659886</t>
  </si>
  <si>
    <t>ker146v</t>
  </si>
  <si>
    <t>https://github.com/torvalds/linux/commit/c54def7bd64d7c0b6993336abcffb8444795bf38</t>
  </si>
  <si>
    <t>ker147v</t>
  </si>
  <si>
    <t>https://github.com/torvalds/linux/commit/ad3e14d7c5268c2e24477c6ef54bbdf88add5d36</t>
  </si>
  <si>
    <t>This if-clause was changed from one function to another. (Should have been two items? Checking-extraneous, checking-missing)</t>
  </si>
  <si>
    <t>ker144v</t>
  </si>
  <si>
    <t>https://github.com/torvalds/linux/commit/51217e69697fba92a06e07e16f55c9a52d8e8945</t>
  </si>
  <si>
    <t>operator changed from &lt; to &gt;</t>
  </si>
  <si>
    <t>ker145v</t>
  </si>
  <si>
    <t>https://github.com/torvalds/linux/commit/4ab25786c87eb20857bbb715c3ae34ec8fd6a214</t>
  </si>
  <si>
    <t>All the files were comparing with integer literals with a difference of 1 to 5 values.</t>
  </si>
  <si>
    <t>ker149v</t>
  </si>
  <si>
    <t>https://github.com/torvalds/linux/commit/6817ae225cd650fb1c3295d769298c38b1eba818</t>
  </si>
  <si>
    <t>ker151v</t>
  </si>
  <si>
    <t>https://github.com/torvalds/linux/commit/844817e47eef14141cf59b8d5ac08dd11c0a9189</t>
  </si>
  <si>
    <t>ker158v</t>
  </si>
  <si>
    <t>https://github.com/torvalds/linux/commit/256df2f3879efdb2e9808bdb1b54b16fbb11fa38</t>
  </si>
  <si>
    <t>New functions were created and used.</t>
  </si>
  <si>
    <t>ker134v</t>
  </si>
  <si>
    <t>https://github.com/torvalds/linux/commit/206a81c18401c0cde6e579164f752c4b147324ce</t>
  </si>
  <si>
    <t>ker93v</t>
  </si>
  <si>
    <t>https://github.com/torvalds/linux/commit/c27a3e4d667fdcad3db7b104f75659478e0c68d8</t>
  </si>
  <si>
    <t>ker94v</t>
  </si>
  <si>
    <t>https://github.com/torvalds/linux/commit/086ba77a6db00ed858ff07451bedee197df868c9</t>
  </si>
  <si>
    <t>ker84v</t>
  </si>
  <si>
    <t>https://github.com/torvalds/linux/commit/f2e323ec96077642d397bb1c355def536d489d16</t>
  </si>
  <si>
    <t>ker61v</t>
  </si>
  <si>
    <t>https://github.com/torvalds/linux/commit/ca4da5dd1f99fe9c59f1709fb43e818b18ad20e0</t>
  </si>
  <si>
    <t>ker60v</t>
  </si>
  <si>
    <t>https://github.com/torvalds/linux/commit/f84598bd7c851f8b0bf8cd0d7c3be0d73c432ff4</t>
  </si>
  <si>
    <t>ker35v</t>
  </si>
  <si>
    <t>https://github.com/torvalds/linux/commit/ee73f656a604d5aa9df86a97102e4e462dd79924</t>
  </si>
  <si>
    <t>ker22v</t>
  </si>
  <si>
    <t>https://github.com/torvalds/linux/commit/ccfe8c3f7e52ae83155cb038753f4c75b774ca8a</t>
  </si>
  <si>
    <t>ker21v</t>
  </si>
  <si>
    <t>https://github.com/torvalds/linux/commit/59c816c1f24df0204e01851431d3bab3eb76719c</t>
  </si>
  <si>
    <t>xen2v</t>
  </si>
  <si>
    <t>https://github.com/xen-project/xen/commit/24ff9723e0398e78355ea4b83df50eafb154d4dc</t>
  </si>
  <si>
    <t>xen31v</t>
  </si>
  <si>
    <t>https://github.com/xen-project/xen/commit/41abbadef60e5fccdfd688579dd458f7f7887cf5</t>
  </si>
  <si>
    <t>xen44v</t>
  </si>
  <si>
    <t>https://github.com/xen-project/xen/commit/3cd10fd21220f2b814324e6e732004f8f0487d0a</t>
  </si>
  <si>
    <t>Free of a variable was removed (exactly the description of algorithm-extraneous)</t>
  </si>
  <si>
    <t>xen47v</t>
  </si>
  <si>
    <t>https://github.com/xen-project/xen/commit/8b2c441a1b53a43a38b3c517e28f239da3349872</t>
  </si>
  <si>
    <t>xen75v</t>
  </si>
  <si>
    <t>https://github.com/xen-project/xen/commit/c3d1024d56aaf7fbb6415db1558f7eb40c854afc</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</si>
</sst>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0.00%"/>
  </numFmts>
  <fonts count="10" x14ac:knownFonts="1">
    <font>
      <sz val="11"/>
      <color theme="1"/>
      <name val="Calibri"/>
      <family val="2"/>
      <scheme val="minor"/>
    </font>
    <font>
      <sz val="11"/>
      <color theme="1"/>
      <name val="Calibri"/>
      <family val="2"/>
    </font>
    <font>
      <b/>
      <sz val="12"/>
      <color rgb="FF000000"/>
      <name val="Calibri"/>
      <family val="2"/>
    </font>
    <font>
      <sz val="12"/>
      <color rgb="FF70ad47"/>
      <name val="Calibri"/>
      <family val="2"/>
    </font>
    <font>
      <u/>
      <sz val="12"/>
      <color rgb="FF000000"/>
      <name val="Calibri"/>
      <family val="2"/>
    </font>
    <font>
      <sz val="12"/>
      <color rgb="FFff0000"/>
      <name val="Calibri"/>
      <family val="2"/>
    </font>
    <font>
      <sz val="12"/>
      <color theme="1"/>
      <name val="Calibri"/>
      <family val="2"/>
    </font>
    <font>
      <u/>
      <sz val="12"/>
      <color theme="1"/>
      <name val="Calibri"/>
      <family val="2"/>
    </font>
    <font>
      <u/>
      <sz val="12"/>
      <color rgb="FF70ad47"/>
      <name val="Calibri"/>
      <family val="2"/>
    </font>
    <font>
      <u/>
      <sz val="12"/>
      <color rgb="FFff0000"/>
      <name val="Calibri"/>
      <family val="2"/>
    </font>
  </fonts>
  <fills count="5">
    <fill>
      <patternFill patternType="none"/>
    </fill>
    <fill>
      <patternFill patternType="gray125"/>
    </fill>
    <fill>
      <patternFill patternType="solid">
        <fgColor rgb="FFdae3f3"/>
      </patternFill>
    </fill>
    <fill>
      <patternFill patternType="solid">
        <fgColor rgb="FFffc000"/>
      </patternFill>
    </fill>
    <fill>
      <patternFill patternType="solid">
        <fgColor rgb="FFffff00"/>
      </patternFill>
    </fill>
  </fills>
  <borders count="29">
    <border>
      <left/>
      <right/>
      <top/>
      <bottom/>
      <diagonal/>
    </border>
    <border>
      <left/>
      <right/>
      <top/>
      <bottom/>
      <diagonal/>
    </border>
    <border>
      <left style="thin">
        <color rgb="FFc6c6c6"/>
      </left>
      <right style="thin">
        <color rgb="FFc6c6c6"/>
      </right>
      <top style="thin">
        <color rgb="FFc6c6c6"/>
      </top>
      <bottom style="thin">
        <color rgb="FF8faadc"/>
      </bottom>
      <diagonal/>
    </border>
    <border>
      <left style="thick">
        <color rgb="FF000000"/>
      </left>
      <right/>
      <top/>
      <bottom/>
      <diagonal/>
    </border>
    <border>
      <left/>
      <right style="thick">
        <color rgb="FF000000"/>
      </right>
      <top/>
      <bottom/>
      <diagonal/>
    </border>
    <border>
      <left/>
      <right/>
      <top style="thin">
        <color rgb="FF000000"/>
      </top>
      <bottom/>
      <diagonal/>
    </border>
    <border>
      <left style="thin">
        <color rgb="FFc6c6c6"/>
      </left>
      <right style="thin">
        <color rgb="FFc6c6c6"/>
      </right>
      <top style="thin">
        <color rgb="FF000000"/>
      </top>
      <bottom style="thin">
        <color rgb="FFc6c6c6"/>
      </bottom>
      <diagonal/>
    </border>
    <border>
      <left/>
      <right style="thick">
        <color rgb="FF000000"/>
      </right>
      <top style="thin">
        <color rgb="FF000000"/>
      </top>
      <bottom/>
      <diagonal/>
    </border>
    <border>
      <left style="thin">
        <color rgb="FFc6c6c6"/>
      </left>
      <right style="thin">
        <color rgb="FFc6c6c6"/>
      </right>
      <top style="thin">
        <color rgb="FFc6c6c6"/>
      </top>
      <bottom style="thin">
        <color rgb="FFc6c6c6"/>
      </bottom>
      <diagonal/>
    </border>
    <border>
      <left style="thin">
        <color rgb="FFc6c6c6"/>
      </left>
      <right style="thick">
        <color rgb="FF000000"/>
      </right>
      <top style="thin">
        <color rgb="FFc6c6c6"/>
      </top>
      <bottom style="thin">
        <color rgb="FFc6c6c6"/>
      </bottom>
      <diagonal/>
    </border>
    <border>
      <left/>
      <right/>
      <top/>
      <bottom style="thin">
        <color rgb="FF000000"/>
      </bottom>
      <diagonal/>
    </border>
    <border>
      <left/>
      <right/>
      <top style="thin">
        <color rgb="FF000000"/>
      </top>
      <bottom style="thin">
        <color rgb="FF000000"/>
      </bottom>
      <diagonal/>
    </border>
    <border>
      <left style="thin">
        <color rgb="FFc6c6c6"/>
      </left>
      <right style="thin">
        <color rgb="FFc6c6c6"/>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c6c6c6"/>
      </left>
      <right style="thick">
        <color rgb="FF000000"/>
      </right>
      <top style="thin">
        <color rgb="FF000000"/>
      </top>
      <bottom style="thin">
        <color rgb="FF000000"/>
      </bottom>
      <diagonal/>
    </border>
    <border>
      <left style="thin">
        <color rgb="FFc6c6c6"/>
      </left>
      <right style="thick">
        <color rgb="FF000000"/>
      </right>
      <top style="thin">
        <color rgb="FF000000"/>
      </top>
      <bottom style="thin">
        <color rgb="FFc6c6c6"/>
      </bottom>
      <diagonal/>
    </border>
    <border>
      <left style="thin">
        <color rgb="FFc6c6c6"/>
      </left>
      <right style="thin">
        <color rgb="FFc6c6c6"/>
      </right>
      <top style="thin">
        <color rgb="FFc6c6c6"/>
      </top>
      <bottom style="thin">
        <color rgb="FF000000"/>
      </bottom>
      <diagonal/>
    </border>
    <border>
      <left/>
      <right style="thick">
        <color rgb="FF000000"/>
      </right>
      <top/>
      <bottom style="thin">
        <color rgb="FF000000"/>
      </bottom>
      <diagonal/>
    </border>
    <border>
      <left style="thin">
        <color rgb="FFc6c6c6"/>
      </left>
      <right style="thick">
        <color rgb="FF000000"/>
      </right>
      <top style="thin">
        <color rgb="FFc6c6c6"/>
      </top>
      <bottom style="thin">
        <color rgb="FF000000"/>
      </bottom>
      <diagonal/>
    </border>
    <border>
      <left style="thick">
        <color rgb="FF000000"/>
      </left>
      <right style="thin">
        <color rgb="FFc6c6c6"/>
      </right>
      <top style="thin">
        <color rgb="FFc6c6c6"/>
      </top>
      <bottom style="thin">
        <color rgb="FFc6c6c6"/>
      </bottom>
      <diagonal/>
    </border>
    <border>
      <left style="thick">
        <color rgb="FF000000"/>
      </left>
      <right/>
      <top style="thin">
        <color rgb="FF000000"/>
      </top>
      <bottom/>
      <diagonal/>
    </border>
    <border>
      <left style="thick">
        <color rgb="FF000000"/>
      </left>
      <right/>
      <top/>
      <bottom style="thin">
        <color rgb="FF000000"/>
      </bottom>
      <diagonal/>
    </border>
    <border>
      <left style="thin">
        <color rgb="FF000000"/>
      </left>
      <right/>
      <top style="thin">
        <color rgb="FF000000"/>
      </top>
      <bottom style="thin">
        <color rgb="FF000000"/>
      </bottom>
      <diagonal/>
    </border>
    <border>
      <left style="thick">
        <color rgb="FF000000"/>
      </left>
      <right style="thin">
        <color rgb="FFc6c6c6"/>
      </right>
      <top style="thin">
        <color rgb="FF000000"/>
      </top>
      <bottom style="thin">
        <color rgb="FF000000"/>
      </bottom>
      <diagonal/>
    </border>
    <border>
      <left style="thick">
        <color rgb="FF000000"/>
      </left>
      <right/>
      <top style="thin">
        <color rgb="FF000000"/>
      </top>
      <bottom style="thin">
        <color rgb="FF000000"/>
      </bottom>
      <diagonal/>
    </border>
    <border>
      <left/>
      <right/>
      <top/>
      <bottom style="thick">
        <color rgb="FF000000"/>
      </bottom>
      <diagonal/>
    </border>
    <border>
      <left/>
      <right style="thick">
        <color rgb="FF000000"/>
      </right>
      <top/>
      <bottom style="thick">
        <color rgb="FF000000"/>
      </bottom>
      <diagonal/>
    </border>
    <border>
      <left/>
      <right/>
      <top style="thick">
        <color rgb="FF000000"/>
      </top>
      <bottom style="thin">
        <color rgb="FF000000"/>
      </bottom>
      <diagonal/>
    </border>
    <border>
      <left style="thick">
        <color rgb="FF000000"/>
      </left>
      <right/>
      <top/>
      <bottom style="thick">
        <color rgb="FF000000"/>
      </bottom>
      <diagonal/>
    </border>
  </borders>
  <cellStyleXfs count="1">
    <xf numFmtId="0" fontId="0" fillId="0" borderId="0"/>
  </cellStyleXfs>
  <cellXfs count="108">
    <xf xfId="0" numFmtId="0" borderId="0" fontId="0" fillId="0"/>
    <xf xfId="0" numFmtId="0" borderId="0" fontId="0" fillId="0" applyAlignment="1">
      <alignment horizontal="general"/>
    </xf>
    <xf xfId="0" numFmtId="0" borderId="1" applyBorder="1" fontId="1" applyFont="1" fillId="0" applyAlignment="1">
      <alignment horizontal="left"/>
    </xf>
    <xf xfId="0" numFmtId="17" applyNumberFormat="1" borderId="1" applyBorder="1" fontId="1" applyFont="1" fillId="0" applyAlignment="1">
      <alignment horizontal="left"/>
    </xf>
    <xf xfId="0" numFmtId="0" borderId="0" fontId="0" fillId="0" applyAlignment="1">
      <alignment horizontal="general"/>
    </xf>
    <xf xfId="0" numFmtId="0" borderId="0" fontId="0" fillId="0" applyAlignment="1">
      <alignment horizontal="left"/>
    </xf>
    <xf xfId="0" numFmtId="3" applyNumberFormat="1" borderId="0" fontId="0" fillId="0" applyAlignment="1">
      <alignment horizontal="right"/>
    </xf>
    <xf xfId="0" numFmtId="3" applyNumberFormat="1" borderId="1" applyBorder="1" fontId="1" applyFont="1" fillId="0" applyAlignment="1">
      <alignment horizontal="right"/>
    </xf>
    <xf xfId="0" numFmtId="0" borderId="0" fontId="0" fillId="0" applyAlignment="1">
      <alignment horizontal="left"/>
    </xf>
    <xf xfId="0" numFmtId="3" applyNumberFormat="1" borderId="0" fontId="0" fillId="0" applyAlignment="1">
      <alignment horizontal="right"/>
    </xf>
    <xf xfId="0" numFmtId="0" borderId="1" applyBorder="1" fontId="2" applyFont="1" fillId="0" applyAlignment="1">
      <alignment horizontal="left"/>
    </xf>
    <xf xfId="0" numFmtId="164" applyNumberFormat="1" borderId="0" fontId="0" fillId="0" applyAlignment="1">
      <alignment horizontal="right"/>
    </xf>
    <xf xfId="0" numFmtId="164" applyNumberFormat="1" borderId="0" fontId="0" fillId="0" applyAlignment="1">
      <alignment horizontal="general"/>
    </xf>
    <xf xfId="0" numFmtId="164" applyNumberFormat="1" borderId="2" applyBorder="1" fontId="2" applyFont="1" fillId="2" applyFill="1" applyAlignment="1">
      <alignment horizontal="left"/>
    </xf>
    <xf xfId="0" numFmtId="164" applyNumberFormat="1" borderId="1" applyBorder="1" fontId="1" applyFont="1" fillId="0" applyAlignment="1">
      <alignment horizontal="right"/>
    </xf>
    <xf xfId="0" numFmtId="0" borderId="0" fontId="0" fillId="0" applyAlignment="1">
      <alignment horizontal="general"/>
    </xf>
    <xf xfId="0" numFmtId="164" applyNumberFormat="1" borderId="0" fontId="0" fillId="0" applyAlignment="1">
      <alignment horizontal="right"/>
    </xf>
    <xf xfId="0" numFmtId="164" applyNumberFormat="1" borderId="0" fontId="0" fillId="0" applyAlignment="1">
      <alignment horizontal="general"/>
    </xf>
    <xf xfId="0" numFmtId="0" borderId="3" applyBorder="1" fontId="2" applyFont="1" fillId="0" applyAlignment="1">
      <alignment horizontal="center"/>
    </xf>
    <xf xfId="0" numFmtId="0" borderId="4" applyBorder="1" fontId="2" applyFont="1" fillId="0" applyAlignment="1">
      <alignment horizontal="center"/>
    </xf>
    <xf xfId="0" numFmtId="0" borderId="4" applyBorder="1" fontId="2" applyFont="1" fillId="0" applyAlignment="1">
      <alignment horizontal="left"/>
    </xf>
    <xf xfId="0" numFmtId="3" applyNumberFormat="1" borderId="1" applyBorder="1" fontId="2" applyFont="1" fillId="0" applyAlignment="1">
      <alignment horizontal="left"/>
    </xf>
    <xf xfId="0" numFmtId="0" borderId="5" applyBorder="1" fontId="1" applyFont="1" fillId="0" applyAlignment="1">
      <alignment horizontal="left"/>
    </xf>
    <xf xfId="0" numFmtId="0" borderId="6" applyBorder="1" fontId="1" applyFont="1" fillId="3" applyFill="1" applyAlignment="1">
      <alignment horizontal="left"/>
    </xf>
    <xf xfId="0" numFmtId="0" borderId="7" applyBorder="1" fontId="1" applyFont="1" fillId="0" applyAlignment="1">
      <alignment horizontal="left"/>
    </xf>
    <xf xfId="0" numFmtId="0" borderId="8" applyBorder="1" fontId="3" applyFont="1" fillId="3" applyFill="1" applyAlignment="1">
      <alignment horizontal="left"/>
    </xf>
    <xf xfId="0" numFmtId="0" borderId="9" applyBorder="1" fontId="3" applyFont="1" fillId="3" applyFill="1" applyAlignment="1">
      <alignment horizontal="left"/>
    </xf>
    <xf xfId="0" numFmtId="0" borderId="10" applyBorder="1" fontId="1" applyFont="1" fillId="0" applyAlignment="1">
      <alignment horizontal="left"/>
    </xf>
    <xf xfId="0" numFmtId="0" borderId="1" applyBorder="1" fontId="4" applyFont="1" fillId="0" applyAlignment="1">
      <alignment horizontal="left"/>
    </xf>
    <xf xfId="0" numFmtId="0" borderId="11" applyBorder="1" fontId="1" applyFont="1" fillId="0" applyAlignment="1">
      <alignment horizontal="left"/>
    </xf>
    <xf xfId="0" numFmtId="0" borderId="12" applyBorder="1" fontId="1" applyFont="1" fillId="3" applyFill="1" applyAlignment="1">
      <alignment horizontal="left"/>
    </xf>
    <xf xfId="0" numFmtId="0" borderId="13" applyBorder="1" fontId="1" applyFont="1" fillId="0" applyAlignment="1">
      <alignment horizontal="left"/>
    </xf>
    <xf xfId="0" numFmtId="0" borderId="12" applyBorder="1" fontId="3" applyFont="1" fillId="3" applyFill="1" applyAlignment="1">
      <alignment horizontal="left"/>
    </xf>
    <xf xfId="0" numFmtId="0" borderId="14" applyBorder="1" fontId="3" applyFont="1" fillId="3" applyFill="1" applyAlignment="1">
      <alignment horizontal="left"/>
    </xf>
    <xf xfId="0" numFmtId="3" applyNumberFormat="1" borderId="11" applyBorder="1" fontId="1" applyFont="1" fillId="0" applyAlignment="1">
      <alignment horizontal="right"/>
    </xf>
    <xf xfId="0" numFmtId="0" borderId="11" applyBorder="1" fontId="4" applyFont="1" fillId="0" applyAlignment="1">
      <alignment horizontal="left"/>
    </xf>
    <xf xfId="0" numFmtId="0" borderId="8" applyBorder="1" fontId="1" applyFont="1" fillId="3" applyFill="1" applyAlignment="1">
      <alignment horizontal="left"/>
    </xf>
    <xf xfId="0" numFmtId="0" borderId="4" applyBorder="1" fontId="1" applyFont="1" fillId="0" applyAlignment="1">
      <alignment horizontal="left"/>
    </xf>
    <xf xfId="0" numFmtId="0" borderId="11" applyBorder="1" fontId="1" applyFont="1" fillId="0" applyAlignment="1">
      <alignment horizontal="left"/>
    </xf>
    <xf xfId="0" numFmtId="0" borderId="6" applyBorder="1" fontId="3" applyFont="1" fillId="3" applyFill="1" applyAlignment="1">
      <alignment horizontal="left"/>
    </xf>
    <xf xfId="0" numFmtId="0" borderId="15" applyBorder="1" fontId="3" applyFont="1" fillId="3" applyFill="1" applyAlignment="1">
      <alignment horizontal="left"/>
    </xf>
    <xf xfId="0" numFmtId="3" applyNumberFormat="1" borderId="5" applyBorder="1" fontId="1" applyFont="1" fillId="0" applyAlignment="1">
      <alignment horizontal="right"/>
    </xf>
    <xf xfId="0" numFmtId="0" borderId="5" applyBorder="1" fontId="1" applyFont="1" fillId="0" applyAlignment="1">
      <alignment horizontal="left"/>
    </xf>
    <xf xfId="0" numFmtId="0" borderId="5" applyBorder="1" fontId="4" applyFont="1" fillId="0" applyAlignment="1">
      <alignment horizontal="left"/>
    </xf>
    <xf xfId="0" numFmtId="0" borderId="10" applyBorder="1" fontId="1" applyFont="1" fillId="0" applyAlignment="1">
      <alignment horizontal="left"/>
    </xf>
    <xf xfId="0" numFmtId="0" borderId="16" applyBorder="1" fontId="1" applyFont="1" fillId="3" applyFill="1" applyAlignment="1">
      <alignment horizontal="left"/>
    </xf>
    <xf xfId="0" numFmtId="0" borderId="17" applyBorder="1" fontId="1" applyFont="1" fillId="0" applyAlignment="1">
      <alignment horizontal="left"/>
    </xf>
    <xf xfId="0" numFmtId="0" borderId="16" applyBorder="1" fontId="3" applyFont="1" fillId="3" applyFill="1" applyAlignment="1">
      <alignment horizontal="left"/>
    </xf>
    <xf xfId="0" numFmtId="0" borderId="18" applyBorder="1" fontId="3" applyFont="1" fillId="3" applyFill="1" applyAlignment="1">
      <alignment horizontal="left"/>
    </xf>
    <xf xfId="0" numFmtId="3" applyNumberFormat="1" borderId="10" applyBorder="1" fontId="1" applyFont="1" fillId="0" applyAlignment="1">
      <alignment horizontal="right"/>
    </xf>
    <xf xfId="0" numFmtId="0" borderId="10" applyBorder="1" fontId="4" applyFont="1" fillId="0" applyAlignment="1">
      <alignment horizontal="left"/>
    </xf>
    <xf xfId="0" numFmtId="0" borderId="10" applyBorder="1" fontId="5" applyFont="1" fillId="0" applyAlignment="1">
      <alignment horizontal="left"/>
    </xf>
    <xf xfId="0" numFmtId="0" borderId="5" applyBorder="1" fontId="3" applyFont="1" fillId="0" applyAlignment="1">
      <alignment horizontal="left"/>
    </xf>
    <xf xfId="0" numFmtId="0" borderId="7" applyBorder="1" fontId="3" applyFont="1" fillId="0" applyAlignment="1">
      <alignment horizontal="left"/>
    </xf>
    <xf xfId="0" numFmtId="0" borderId="1" applyBorder="1" fontId="3" applyFont="1" fillId="0" applyAlignment="1">
      <alignment horizontal="left"/>
    </xf>
    <xf xfId="0" numFmtId="0" borderId="4" applyBorder="1" fontId="3" applyFont="1" fillId="0" applyAlignment="1">
      <alignment horizontal="left"/>
    </xf>
    <xf xfId="0" numFmtId="0" borderId="1" applyBorder="1" fontId="6" applyFont="1" fillId="0" applyAlignment="1">
      <alignment horizontal="left"/>
    </xf>
    <xf xfId="0" numFmtId="0" borderId="4" applyBorder="1" fontId="6" applyFont="1" fillId="0" applyAlignment="1">
      <alignment horizontal="left"/>
    </xf>
    <xf xfId="0" numFmtId="0" borderId="10" applyBorder="1" fontId="6" applyFont="1" fillId="0" applyAlignment="1">
      <alignment horizontal="left"/>
    </xf>
    <xf xfId="0" numFmtId="0" borderId="17" applyBorder="1" fontId="6" applyFont="1" fillId="0" applyAlignment="1">
      <alignment horizontal="left"/>
    </xf>
    <xf xfId="0" numFmtId="0" borderId="19" applyBorder="1" fontId="3" applyFont="1" fillId="3" applyFill="1" applyAlignment="1">
      <alignment horizontal="left"/>
    </xf>
    <xf xfId="0" numFmtId="0" borderId="8" applyBorder="1" fontId="6" applyFont="1" fillId="3" applyFill="1" applyAlignment="1">
      <alignment horizontal="left"/>
    </xf>
    <xf xfId="0" numFmtId="0" borderId="9" applyBorder="1" fontId="6" applyFont="1" fillId="3" applyFill="1" applyAlignment="1">
      <alignment horizontal="left"/>
    </xf>
    <xf xfId="0" numFmtId="0" borderId="1" applyBorder="1" fontId="5" applyFont="1" fillId="0" applyAlignment="1">
      <alignment horizontal="left"/>
    </xf>
    <xf xfId="0" numFmtId="0" borderId="12" applyBorder="1" fontId="6" applyFont="1" fillId="3" applyFill="1" applyAlignment="1">
      <alignment horizontal="left"/>
    </xf>
    <xf xfId="0" numFmtId="0" borderId="14" applyBorder="1" fontId="6" applyFont="1" fillId="3" applyFill="1" applyAlignment="1">
      <alignment horizontal="left"/>
    </xf>
    <xf xfId="0" numFmtId="0" borderId="20" applyBorder="1" fontId="6" applyFont="1" fillId="0" applyAlignment="1">
      <alignment horizontal="left"/>
    </xf>
    <xf xfId="0" numFmtId="0" borderId="7" applyBorder="1" fontId="6" applyFont="1" fillId="0" applyAlignment="1">
      <alignment horizontal="left"/>
    </xf>
    <xf xfId="0" numFmtId="0" borderId="3" applyBorder="1" fontId="6" applyFont="1" fillId="0" applyAlignment="1">
      <alignment horizontal="left"/>
    </xf>
    <xf xfId="0" numFmtId="3" applyNumberFormat="1" borderId="3" applyBorder="1" fontId="1" applyFont="1" fillId="0" applyAlignment="1">
      <alignment horizontal="right"/>
    </xf>
    <xf xfId="0" numFmtId="3" applyNumberFormat="1" borderId="21" applyBorder="1" fontId="1" applyFont="1" fillId="0" applyAlignment="1">
      <alignment horizontal="right"/>
    </xf>
    <xf xfId="0" numFmtId="0" borderId="5" applyBorder="1" fontId="6" applyFont="1" fillId="0" applyAlignment="1">
      <alignment horizontal="left"/>
    </xf>
    <xf xfId="0" numFmtId="3" applyNumberFormat="1" borderId="5" applyBorder="1" fontId="6" applyFont="1" fillId="0" applyAlignment="1">
      <alignment horizontal="right"/>
    </xf>
    <xf xfId="0" numFmtId="3" applyNumberFormat="1" borderId="1" applyBorder="1" fontId="6" applyFont="1" fillId="0" applyAlignment="1">
      <alignment horizontal="right"/>
    </xf>
    <xf xfId="0" numFmtId="3" applyNumberFormat="1" borderId="10" applyBorder="1" fontId="6" applyFont="1" fillId="0" applyAlignment="1">
      <alignment horizontal="right"/>
    </xf>
    <xf xfId="0" numFmtId="0" borderId="22" applyBorder="1" fontId="6" applyFont="1" fillId="0" applyAlignment="1">
      <alignment horizontal="left"/>
    </xf>
    <xf xfId="0" numFmtId="0" borderId="11" applyBorder="1" fontId="6" applyFont="1" fillId="0" applyAlignment="1">
      <alignment horizontal="left"/>
    </xf>
    <xf xfId="0" numFmtId="0" borderId="23" applyBorder="1" fontId="3" applyFont="1" fillId="3" applyFill="1" applyAlignment="1">
      <alignment horizontal="left"/>
    </xf>
    <xf xfId="0" numFmtId="0" borderId="13" applyBorder="1" fontId="6" applyFont="1" fillId="0" applyAlignment="1">
      <alignment horizontal="left"/>
    </xf>
    <xf xfId="0" numFmtId="0" borderId="9" applyBorder="1" fontId="1" applyFont="1" fillId="3" applyFill="1" applyAlignment="1">
      <alignment horizontal="left"/>
    </xf>
    <xf xfId="0" numFmtId="0" borderId="11" applyBorder="1" fontId="5" applyFont="1" fillId="0" applyAlignment="1">
      <alignment horizontal="left"/>
    </xf>
    <xf xfId="0" numFmtId="0" borderId="14" applyBorder="1" fontId="1" applyFont="1" fillId="3" applyFill="1" applyAlignment="1">
      <alignment horizontal="left"/>
    </xf>
    <xf xfId="0" numFmtId="0" borderId="12" applyBorder="1" fontId="1" applyFont="1" fillId="4" applyFill="1" applyAlignment="1">
      <alignment horizontal="left"/>
    </xf>
    <xf xfId="0" numFmtId="0" borderId="24" applyBorder="1" fontId="6" applyFont="1" fillId="0" applyAlignment="1">
      <alignment horizontal="left"/>
    </xf>
    <xf xfId="0" numFmtId="0" borderId="6" applyBorder="1" fontId="1" applyFont="1" fillId="4" applyFill="1" applyAlignment="1">
      <alignment horizontal="left"/>
    </xf>
    <xf xfId="0" numFmtId="0" borderId="8" applyBorder="1" fontId="1" applyFont="1" fillId="4" applyFill="1" applyAlignment="1">
      <alignment horizontal="left"/>
    </xf>
    <xf xfId="0" numFmtId="0" borderId="16" applyBorder="1" fontId="1" applyFont="1" fillId="4" applyFill="1" applyAlignment="1">
      <alignment horizontal="left"/>
    </xf>
    <xf xfId="0" numFmtId="3" applyNumberFormat="1" borderId="20" applyBorder="1" fontId="1" applyFont="1" fillId="0" applyAlignment="1">
      <alignment horizontal="right"/>
    </xf>
    <xf xfId="0" numFmtId="0" borderId="21" applyBorder="1" fontId="6" applyFont="1" fillId="0" applyAlignment="1">
      <alignment horizontal="left"/>
    </xf>
    <xf xfId="0" numFmtId="0" borderId="25" applyBorder="1" fontId="1" applyFont="1" fillId="0" applyAlignment="1">
      <alignment horizontal="left"/>
    </xf>
    <xf xfId="0" numFmtId="0" borderId="26" applyBorder="1" fontId="1" applyFont="1" fillId="0" applyAlignment="1">
      <alignment horizontal="left"/>
    </xf>
    <xf xfId="0" numFmtId="0" borderId="25" applyBorder="1" fontId="6" applyFont="1" fillId="0" applyAlignment="1">
      <alignment horizontal="left"/>
    </xf>
    <xf xfId="0" numFmtId="3" applyNumberFormat="1" borderId="25" applyBorder="1" fontId="1" applyFont="1" fillId="0" applyAlignment="1">
      <alignment horizontal="right"/>
    </xf>
    <xf xfId="0" numFmtId="0" borderId="27" applyBorder="1" fontId="1" applyFont="1" fillId="0" applyAlignment="1">
      <alignment horizontal="left"/>
    </xf>
    <xf xfId="0" numFmtId="0" borderId="1" applyBorder="1" fontId="7" applyFont="1" fillId="0" applyAlignment="1">
      <alignment horizontal="left"/>
    </xf>
    <xf xfId="0" numFmtId="0" borderId="5" applyBorder="1" fontId="7" applyFont="1" fillId="0" applyAlignment="1">
      <alignment horizontal="left"/>
    </xf>
    <xf xfId="0" numFmtId="0" borderId="0" fontId="0" fillId="0" quotePrefix="1" applyAlignment="1">
      <alignment horizontal="general"/>
    </xf>
    <xf xfId="0" numFmtId="0" borderId="28" applyBorder="1" fontId="6" applyFont="1" fillId="0" applyAlignment="1">
      <alignment horizontal="left"/>
    </xf>
    <xf xfId="0" numFmtId="0" borderId="25" applyBorder="1" fontId="1" applyFont="1" fillId="0" applyAlignment="1">
      <alignment horizontal="left"/>
    </xf>
    <xf xfId="0" numFmtId="0" borderId="10" applyBorder="1" fontId="3" applyFont="1" fillId="0" applyAlignment="1">
      <alignment horizontal="left"/>
    </xf>
    <xf xfId="0" numFmtId="0" borderId="17" applyBorder="1" fontId="3" applyFont="1" fillId="0" applyAlignment="1">
      <alignment horizontal="left"/>
    </xf>
    <xf xfId="0" numFmtId="3" applyNumberFormat="1" borderId="10" applyBorder="1" fontId="3" applyFont="1" fillId="0" applyAlignment="1">
      <alignment horizontal="right"/>
    </xf>
    <xf xfId="0" numFmtId="0" borderId="10" applyBorder="1" fontId="3" applyFont="1" fillId="0" applyAlignment="1">
      <alignment horizontal="left"/>
    </xf>
    <xf xfId="0" numFmtId="0" borderId="10" applyBorder="1" fontId="8" applyFont="1" fillId="0" applyAlignment="1">
      <alignment horizontal="left"/>
    </xf>
    <xf xfId="0" numFmtId="0" borderId="4" applyBorder="1" fontId="5" applyFont="1" fillId="0" applyAlignment="1">
      <alignment horizontal="left"/>
    </xf>
    <xf xfId="0" numFmtId="3" applyNumberFormat="1" borderId="1" applyBorder="1" fontId="5" applyFont="1" fillId="0" applyAlignment="1">
      <alignment horizontal="right"/>
    </xf>
    <xf xfId="0" numFmtId="0" borderId="1" applyBorder="1" fontId="5" applyFont="1" fillId="0" applyAlignment="1">
      <alignment horizontal="left"/>
    </xf>
    <xf xfId="0" numFmtId="0" borderId="1" applyBorder="1" fontId="9" applyFont="1"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sharedStrings.xml" Type="http://schemas.openxmlformats.org/officeDocument/2006/relationships/sharedStrings" Id="rId8"/><Relationship Target="styles.xml" Type="http://schemas.openxmlformats.org/officeDocument/2006/relationships/styles" Id="rId9"/><Relationship Target="theme/theme1.xml" Type="http://schemas.openxmlformats.org/officeDocument/2006/relationships/theme" Id="rId10"/></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N268"/>
  <sheetViews>
    <sheetView workbookViewId="0" tabSelected="1">
      <pane state="frozen" activePane="bottomLeft" topLeftCell="A3" ySplit="2" xSplit="0"/>
    </sheetView>
  </sheetViews>
  <sheetFormatPr defaultRowHeight="15" x14ac:dyDescent="0.25"/>
  <cols>
    <col min="1" max="1" style="4" width="11.576428571428572" customWidth="1" bestFit="1"/>
    <col min="2" max="2" style="4" width="11.576428571428572" customWidth="1" bestFit="1"/>
    <col min="3" max="3" style="4" width="13.576428571428572" customWidth="1" bestFit="1"/>
    <col min="4" max="4" style="4" width="14.576428571428572" customWidth="1" bestFit="1"/>
    <col min="5" max="5" style="4" width="42.14785714285715" customWidth="1" bestFit="1"/>
    <col min="6" max="6" style="4" width="24.433571428571426" customWidth="1" bestFit="1"/>
    <col min="7" max="7" style="4" width="14.43357142857143" customWidth="1" bestFit="1"/>
    <col min="8" max="8" style="9" width="13.576428571428572" customWidth="1" bestFit="1"/>
    <col min="9" max="9" style="4" width="22.576428571428572" customWidth="1" bestFit="1"/>
    <col min="10" max="10" style="4" width="22.005" customWidth="1" bestFit="1"/>
    <col min="11" max="11" style="4" width="25.14785714285714" customWidth="1" bestFit="1"/>
    <col min="12" max="12" style="4" width="13.576428571428572" customWidth="1" bestFit="1"/>
    <col min="13" max="13" style="4" width="29.576428571428572" customWidth="1" bestFit="1"/>
    <col min="14" max="14" style="4" width="82.57642857142856" customWidth="1" bestFit="1"/>
  </cols>
  <sheetData>
    <row x14ac:dyDescent="0.25" r="1" customHeight="1" ht="18.75">
      <c r="A1" s="1"/>
      <c r="B1" s="1"/>
      <c r="C1" s="1"/>
      <c r="D1" s="1"/>
      <c r="E1" s="1"/>
      <c r="F1" s="18" t="s">
        <v>1117</v>
      </c>
      <c r="G1" s="19"/>
      <c r="H1" s="6"/>
      <c r="I1" s="1"/>
      <c r="J1" s="1"/>
      <c r="K1" s="1"/>
      <c r="L1" s="1"/>
      <c r="M1" s="1"/>
      <c r="N1" s="1"/>
    </row>
    <row x14ac:dyDescent="0.25" r="2" customHeight="1" ht="18.75">
      <c r="A2" s="10" t="s">
        <v>1118</v>
      </c>
      <c r="B2" s="10" t="s">
        <v>1119</v>
      </c>
      <c r="C2" s="10" t="s">
        <v>1120</v>
      </c>
      <c r="D2" s="10" t="s">
        <v>1121</v>
      </c>
      <c r="E2" s="20" t="s">
        <v>320</v>
      </c>
      <c r="F2" s="10" t="s">
        <v>1096</v>
      </c>
      <c r="G2" s="20" t="s">
        <v>1105</v>
      </c>
      <c r="H2" s="21" t="s">
        <v>1122</v>
      </c>
      <c r="I2" s="10" t="s">
        <v>1123</v>
      </c>
      <c r="J2" s="10" t="s">
        <v>1124</v>
      </c>
      <c r="K2" s="10" t="s">
        <v>1125</v>
      </c>
      <c r="L2" s="10" t="s">
        <v>1126</v>
      </c>
      <c r="M2" s="10" t="s">
        <v>1127</v>
      </c>
      <c r="N2" s="10" t="s">
        <v>1128</v>
      </c>
    </row>
    <row x14ac:dyDescent="0.25" r="3" customHeight="1" ht="19.5">
      <c r="A3" s="22" t="s">
        <v>1129</v>
      </c>
      <c r="B3" s="22" t="s">
        <v>1114</v>
      </c>
      <c r="C3" s="23" t="s">
        <v>2</v>
      </c>
      <c r="D3" s="22" t="s">
        <v>1130</v>
      </c>
      <c r="E3" s="24" t="s">
        <v>369</v>
      </c>
      <c r="F3" s="25" t="s">
        <v>1100</v>
      </c>
      <c r="G3" s="26" t="s">
        <v>1106</v>
      </c>
      <c r="H3" s="7">
        <f>_xlfn.XLOOKUP(E3,commit_num_files!A$2:A$319,commit_num_files!B$2:B$319)</f>
      </c>
      <c r="I3" s="27">
        <f>_xlfn.XLOOKUP(C3,cve_title!A$2:A$164,cve_title!B$2:B$164)</f>
      </c>
      <c r="J3" s="1" t="s">
        <v>1131</v>
      </c>
      <c r="K3" s="28" t="s">
        <v>1132</v>
      </c>
      <c r="L3" s="1" t="s">
        <v>1133</v>
      </c>
      <c r="M3" s="1"/>
      <c r="N3" s="1" t="s">
        <v>666</v>
      </c>
    </row>
    <row x14ac:dyDescent="0.25" r="4" customHeight="1" ht="21">
      <c r="A4" s="29" t="s">
        <v>1134</v>
      </c>
      <c r="B4" s="29" t="s">
        <v>1114</v>
      </c>
      <c r="C4" s="30" t="s">
        <v>4</v>
      </c>
      <c r="D4" s="29" t="s">
        <v>1130</v>
      </c>
      <c r="E4" s="31" t="s">
        <v>403</v>
      </c>
      <c r="F4" s="32" t="s">
        <v>1102</v>
      </c>
      <c r="G4" s="33" t="s">
        <v>1106</v>
      </c>
      <c r="H4" s="34">
        <f>_xlfn.XLOOKUP(E4,commit_num_files!A$2:A$319,commit_num_files!B$2:B$319)</f>
      </c>
      <c r="I4" s="15">
        <f>_xlfn.XLOOKUP(C4,cve_title!A$2:A$164,cve_title!B$2:B$164)</f>
      </c>
      <c r="J4" s="29"/>
      <c r="K4" s="35" t="s">
        <v>1135</v>
      </c>
      <c r="L4" s="29" t="s">
        <v>1133</v>
      </c>
      <c r="M4" s="29"/>
      <c r="N4" s="29" t="s">
        <v>664</v>
      </c>
    </row>
    <row x14ac:dyDescent="0.25" r="5" customHeight="1" ht="19.5">
      <c r="A5" s="1" t="s">
        <v>1136</v>
      </c>
      <c r="B5" s="1" t="s">
        <v>1114</v>
      </c>
      <c r="C5" s="36" t="s">
        <v>6</v>
      </c>
      <c r="D5" s="1" t="s">
        <v>1130</v>
      </c>
      <c r="E5" s="37" t="s">
        <v>365</v>
      </c>
      <c r="F5" s="25" t="s">
        <v>1102</v>
      </c>
      <c r="G5" s="26" t="s">
        <v>1107</v>
      </c>
      <c r="H5" s="7">
        <f>_xlfn.XLOOKUP(E5,commit_num_files!A$2:A$319,commit_num_files!B$2:B$319)</f>
      </c>
      <c r="I5" s="38">
        <f>_xlfn.XLOOKUP(C5,cve_title!A$2:A$164,cve_title!B$2:B$164)</f>
      </c>
      <c r="J5" s="1"/>
      <c r="K5" s="28" t="s">
        <v>1137</v>
      </c>
      <c r="L5" s="1" t="s">
        <v>1133</v>
      </c>
      <c r="M5" s="1"/>
      <c r="N5" s="1" t="s">
        <v>770</v>
      </c>
    </row>
    <row x14ac:dyDescent="0.25" r="6" customHeight="1" ht="20.25">
      <c r="A6" s="29" t="s">
        <v>1138</v>
      </c>
      <c r="B6" s="29" t="s">
        <v>1114</v>
      </c>
      <c r="C6" s="30" t="s">
        <v>8</v>
      </c>
      <c r="D6" s="29" t="s">
        <v>1130</v>
      </c>
      <c r="E6" s="31" t="s">
        <v>393</v>
      </c>
      <c r="F6" s="32" t="s">
        <v>1100</v>
      </c>
      <c r="G6" s="33" t="s">
        <v>1107</v>
      </c>
      <c r="H6" s="34">
        <f>_xlfn.XLOOKUP(E6,commit_num_files!A$2:A$319,commit_num_files!B$2:B$319)</f>
      </c>
      <c r="I6" s="38">
        <f>_xlfn.XLOOKUP(C6,cve_title!A$2:A$164,cve_title!B$2:B$164)</f>
      </c>
      <c r="J6" s="29"/>
      <c r="K6" s="35" t="s">
        <v>1139</v>
      </c>
      <c r="L6" s="29" t="s">
        <v>1133</v>
      </c>
      <c r="M6" s="29"/>
      <c r="N6" s="29" t="s">
        <v>664</v>
      </c>
    </row>
    <row x14ac:dyDescent="0.25" r="7" customHeight="1" ht="21">
      <c r="A7" s="22" t="s">
        <v>1140</v>
      </c>
      <c r="B7" s="22" t="s">
        <v>1114</v>
      </c>
      <c r="C7" s="23" t="s">
        <v>8</v>
      </c>
      <c r="D7" s="22" t="s">
        <v>1130</v>
      </c>
      <c r="E7" s="24" t="s">
        <v>402</v>
      </c>
      <c r="F7" s="39" t="s">
        <v>1097</v>
      </c>
      <c r="G7" s="40" t="s">
        <v>1106</v>
      </c>
      <c r="H7" s="41">
        <f>_xlfn.XLOOKUP(E7,commit_num_files!A$2:A$319,commit_num_files!B$2:B$319)</f>
      </c>
      <c r="I7" s="42">
        <f>_xlfn.XLOOKUP(C7,cve_title!A$2:A$164,cve_title!B$2:B$164)</f>
      </c>
      <c r="J7" s="22"/>
      <c r="K7" s="43" t="s">
        <v>1141</v>
      </c>
      <c r="L7" s="22" t="s">
        <v>1133</v>
      </c>
      <c r="M7" s="22"/>
      <c r="N7" s="22" t="s">
        <v>664</v>
      </c>
    </row>
    <row x14ac:dyDescent="0.25" r="8" customHeight="1" ht="20.25">
      <c r="A8" s="44" t="s">
        <v>1140</v>
      </c>
      <c r="B8" s="44" t="s">
        <v>1114</v>
      </c>
      <c r="C8" s="45" t="s">
        <v>8</v>
      </c>
      <c r="D8" s="44" t="s">
        <v>1130</v>
      </c>
      <c r="E8" s="46" t="s">
        <v>402</v>
      </c>
      <c r="F8" s="47" t="s">
        <v>1100</v>
      </c>
      <c r="G8" s="48" t="s">
        <v>1106</v>
      </c>
      <c r="H8" s="49">
        <f>_xlfn.XLOOKUP(E8,commit_num_files!A$2:A$319,commit_num_files!B$2:B$319)</f>
      </c>
      <c r="I8" s="15">
        <f>_xlfn.XLOOKUP(C8,cve_title!A$2:A$164,cve_title!B$2:B$164)</f>
      </c>
      <c r="J8" s="44"/>
      <c r="K8" s="50" t="s">
        <v>1141</v>
      </c>
      <c r="L8" s="1" t="s">
        <v>1133</v>
      </c>
      <c r="M8" s="51" t="s">
        <v>1142</v>
      </c>
      <c r="N8" s="44" t="s">
        <v>664</v>
      </c>
    </row>
    <row x14ac:dyDescent="0.25" r="9" customHeight="1" ht="19.5">
      <c r="A9" s="1" t="s">
        <v>1143</v>
      </c>
      <c r="B9" s="1" t="s">
        <v>1114</v>
      </c>
      <c r="C9" s="36" t="s">
        <v>10</v>
      </c>
      <c r="D9" s="1" t="s">
        <v>1144</v>
      </c>
      <c r="E9" s="37" t="s">
        <v>392</v>
      </c>
      <c r="F9" s="25" t="s">
        <v>1100</v>
      </c>
      <c r="G9" s="26" t="s">
        <v>1106</v>
      </c>
      <c r="H9" s="7">
        <f>_xlfn.XLOOKUP(E9,commit_num_files!A$2:A$319,commit_num_files!B$2:B$319)</f>
      </c>
      <c r="I9" s="38">
        <f>_xlfn.XLOOKUP(C9,cve_title!A$2:A$164,cve_title!B$2:B$164)</f>
      </c>
      <c r="J9" s="1"/>
      <c r="K9" s="28" t="s">
        <v>1145</v>
      </c>
      <c r="L9" s="29" t="s">
        <v>1133</v>
      </c>
      <c r="M9" s="1"/>
      <c r="N9" s="1" t="s">
        <v>762</v>
      </c>
    </row>
    <row x14ac:dyDescent="0.25" r="10" customHeight="1" ht="21">
      <c r="A10" s="22" t="s">
        <v>1146</v>
      </c>
      <c r="B10" s="22" t="s">
        <v>1114</v>
      </c>
      <c r="C10" s="22" t="s">
        <v>12</v>
      </c>
      <c r="D10" s="22" t="s">
        <v>1147</v>
      </c>
      <c r="E10" s="24" t="s">
        <v>483</v>
      </c>
      <c r="F10" s="52" t="s">
        <v>1097</v>
      </c>
      <c r="G10" s="53" t="s">
        <v>1107</v>
      </c>
      <c r="H10" s="41">
        <f>_xlfn.XLOOKUP(E10,commit_num_files!A$2:A$319,commit_num_files!B$2:B$319)</f>
      </c>
      <c r="I10" s="15">
        <f>_xlfn.XLOOKUP(C10,cve_title!A$2:A$164,cve_title!B$2:B$164)</f>
      </c>
      <c r="J10" s="22"/>
      <c r="K10" s="43" t="s">
        <v>1148</v>
      </c>
      <c r="L10" s="22" t="s">
        <v>1149</v>
      </c>
      <c r="M10" s="22"/>
      <c r="N10" s="22" t="s">
        <v>730</v>
      </c>
    </row>
    <row x14ac:dyDescent="0.25" r="11" customHeight="1" ht="20.25">
      <c r="A11" s="1" t="s">
        <v>1146</v>
      </c>
      <c r="B11" s="1" t="s">
        <v>1114</v>
      </c>
      <c r="C11" s="1" t="s">
        <v>12</v>
      </c>
      <c r="D11" s="1" t="s">
        <v>1147</v>
      </c>
      <c r="E11" s="37" t="s">
        <v>483</v>
      </c>
      <c r="F11" s="54" t="s">
        <v>1100</v>
      </c>
      <c r="G11" s="55" t="s">
        <v>1106</v>
      </c>
      <c r="H11" s="7">
        <f>_xlfn.XLOOKUP(E11,commit_num_files!A$2:A$319,commit_num_files!B$2:B$319)</f>
      </c>
      <c r="I11" s="15">
        <f>_xlfn.XLOOKUP(C11,cve_title!A$2:A$164,cve_title!B$2:B$164)</f>
      </c>
      <c r="J11" s="1"/>
      <c r="K11" s="28" t="s">
        <v>1148</v>
      </c>
      <c r="L11" s="1" t="s">
        <v>1149</v>
      </c>
      <c r="M11" s="1"/>
      <c r="N11" s="1" t="s">
        <v>731</v>
      </c>
    </row>
    <row x14ac:dyDescent="0.25" r="12" customHeight="1" ht="20.25">
      <c r="A12" s="1" t="s">
        <v>1146</v>
      </c>
      <c r="B12" s="1" t="s">
        <v>1114</v>
      </c>
      <c r="C12" s="1" t="s">
        <v>12</v>
      </c>
      <c r="D12" s="1" t="s">
        <v>1147</v>
      </c>
      <c r="E12" s="37" t="s">
        <v>483</v>
      </c>
      <c r="F12" s="54" t="s">
        <v>1100</v>
      </c>
      <c r="G12" s="55" t="s">
        <v>1106</v>
      </c>
      <c r="H12" s="7">
        <f>_xlfn.XLOOKUP(E12,commit_num_files!A$2:A$319,commit_num_files!B$2:B$319)</f>
      </c>
      <c r="I12" s="15">
        <f>_xlfn.XLOOKUP(C12,cve_title!A$2:A$164,cve_title!B$2:B$164)</f>
      </c>
      <c r="J12" s="1"/>
      <c r="K12" s="28" t="s">
        <v>1148</v>
      </c>
      <c r="L12" s="1" t="s">
        <v>1149</v>
      </c>
      <c r="M12" s="1"/>
      <c r="N12" s="1" t="s">
        <v>733</v>
      </c>
    </row>
    <row x14ac:dyDescent="0.25" r="13" customHeight="1" ht="20.25">
      <c r="A13" s="1" t="s">
        <v>1146</v>
      </c>
      <c r="B13" s="1" t="s">
        <v>1114</v>
      </c>
      <c r="C13" s="1" t="s">
        <v>12</v>
      </c>
      <c r="D13" s="1" t="s">
        <v>1147</v>
      </c>
      <c r="E13" s="37" t="s">
        <v>483</v>
      </c>
      <c r="F13" s="56" t="s">
        <v>1102</v>
      </c>
      <c r="G13" s="55" t="s">
        <v>1106</v>
      </c>
      <c r="H13" s="7">
        <f>_xlfn.XLOOKUP(E13,commit_num_files!A$2:A$319,commit_num_files!B$2:B$319)</f>
      </c>
      <c r="I13" s="15">
        <f>_xlfn.XLOOKUP(C13,cve_title!A$2:A$164,cve_title!B$2:B$164)</f>
      </c>
      <c r="J13" s="1"/>
      <c r="K13" s="28" t="s">
        <v>1148</v>
      </c>
      <c r="L13" s="1" t="s">
        <v>1149</v>
      </c>
      <c r="M13" s="1"/>
      <c r="N13" s="1" t="s">
        <v>732</v>
      </c>
    </row>
    <row x14ac:dyDescent="0.25" r="14" customHeight="1" ht="20.25">
      <c r="A14" s="1" t="s">
        <v>1146</v>
      </c>
      <c r="B14" s="1" t="s">
        <v>1114</v>
      </c>
      <c r="C14" s="1" t="s">
        <v>12</v>
      </c>
      <c r="D14" s="1" t="s">
        <v>1147</v>
      </c>
      <c r="E14" s="37" t="s">
        <v>483</v>
      </c>
      <c r="F14" s="56" t="s">
        <v>1102</v>
      </c>
      <c r="G14" s="57" t="s">
        <v>1106</v>
      </c>
      <c r="H14" s="7">
        <f>_xlfn.XLOOKUP(E14,commit_num_files!A$2:A$319,commit_num_files!B$2:B$319)</f>
      </c>
      <c r="I14" s="15">
        <f>_xlfn.XLOOKUP(C14,cve_title!A$2:A$164,cve_title!B$2:B$164)</f>
      </c>
      <c r="J14" s="1"/>
      <c r="K14" s="28" t="s">
        <v>1148</v>
      </c>
      <c r="L14" s="1" t="s">
        <v>1149</v>
      </c>
      <c r="M14" s="1"/>
      <c r="N14" s="1" t="s">
        <v>733</v>
      </c>
    </row>
    <row x14ac:dyDescent="0.25" r="15" customHeight="1" ht="20.25">
      <c r="A15" s="1" t="s">
        <v>1146</v>
      </c>
      <c r="B15" s="1" t="s">
        <v>1114</v>
      </c>
      <c r="C15" s="1" t="s">
        <v>12</v>
      </c>
      <c r="D15" s="1" t="s">
        <v>1147</v>
      </c>
      <c r="E15" s="37" t="s">
        <v>483</v>
      </c>
      <c r="F15" s="54" t="s">
        <v>1102</v>
      </c>
      <c r="G15" s="55" t="s">
        <v>1106</v>
      </c>
      <c r="H15" s="7">
        <f>_xlfn.XLOOKUP(E15,commit_num_files!A$2:A$319,commit_num_files!B$2:B$319)</f>
      </c>
      <c r="I15" s="15">
        <f>_xlfn.XLOOKUP(C15,cve_title!A$2:A$164,cve_title!B$2:B$164)</f>
      </c>
      <c r="J15" s="1"/>
      <c r="K15" s="28" t="s">
        <v>1148</v>
      </c>
      <c r="L15" s="1" t="s">
        <v>1149</v>
      </c>
      <c r="M15" s="1"/>
      <c r="N15" s="1" t="s">
        <v>734</v>
      </c>
    </row>
    <row x14ac:dyDescent="0.25" r="16" customHeight="1" ht="20.25">
      <c r="A16" s="1" t="s">
        <v>1146</v>
      </c>
      <c r="B16" s="1" t="s">
        <v>1114</v>
      </c>
      <c r="C16" s="1" t="s">
        <v>12</v>
      </c>
      <c r="D16" s="1" t="s">
        <v>1147</v>
      </c>
      <c r="E16" s="37" t="s">
        <v>483</v>
      </c>
      <c r="F16" s="54" t="s">
        <v>1102</v>
      </c>
      <c r="G16" s="55" t="s">
        <v>1106</v>
      </c>
      <c r="H16" s="7">
        <f>_xlfn.XLOOKUP(E16,commit_num_files!A$2:A$319,commit_num_files!B$2:B$319)</f>
      </c>
      <c r="I16" s="15">
        <f>_xlfn.XLOOKUP(C16,cve_title!A$2:A$164,cve_title!B$2:B$164)</f>
      </c>
      <c r="J16" s="1"/>
      <c r="K16" s="28" t="s">
        <v>1148</v>
      </c>
      <c r="L16" s="1" t="s">
        <v>1149</v>
      </c>
      <c r="M16" s="1"/>
      <c r="N16" s="1" t="s">
        <v>735</v>
      </c>
    </row>
    <row x14ac:dyDescent="0.25" r="17" customHeight="1" ht="20.25">
      <c r="A17" s="44" t="s">
        <v>1146</v>
      </c>
      <c r="B17" s="44" t="s">
        <v>1114</v>
      </c>
      <c r="C17" s="44" t="s">
        <v>12</v>
      </c>
      <c r="D17" s="44" t="s">
        <v>1147</v>
      </c>
      <c r="E17" s="46" t="s">
        <v>483</v>
      </c>
      <c r="F17" s="58" t="s">
        <v>1102</v>
      </c>
      <c r="G17" s="59" t="s">
        <v>1106</v>
      </c>
      <c r="H17" s="7">
        <f>_xlfn.XLOOKUP(E17,commit_num_files!A$2:A$319,commit_num_files!B$2:B$319)</f>
      </c>
      <c r="I17" s="15">
        <f>_xlfn.XLOOKUP(C17,cve_title!A$2:A$164,cve_title!B$2:B$164)</f>
      </c>
      <c r="J17" s="44"/>
      <c r="K17" s="50" t="s">
        <v>1148</v>
      </c>
      <c r="L17" s="44" t="s">
        <v>1149</v>
      </c>
      <c r="M17" s="44"/>
      <c r="N17" s="44" t="s">
        <v>736</v>
      </c>
    </row>
    <row x14ac:dyDescent="0.25" r="18" customHeight="1" ht="20.25">
      <c r="A18" s="1" t="s">
        <v>1150</v>
      </c>
      <c r="B18" s="1" t="s">
        <v>1114</v>
      </c>
      <c r="C18" s="36" t="s">
        <v>14</v>
      </c>
      <c r="D18" s="1" t="s">
        <v>1130</v>
      </c>
      <c r="E18" s="37" t="s">
        <v>358</v>
      </c>
      <c r="F18" s="60" t="s">
        <v>1103</v>
      </c>
      <c r="G18" s="26" t="s">
        <v>1106</v>
      </c>
      <c r="H18" s="41">
        <f>_xlfn.XLOOKUP(E18,commit_num_files!A$2:A$319,commit_num_files!B$2:B$319)</f>
      </c>
      <c r="I18" s="42">
        <f>_xlfn.XLOOKUP(C18,cve_title!A$2:A$164,cve_title!B$2:B$164)</f>
      </c>
      <c r="J18" s="1"/>
      <c r="K18" s="28" t="s">
        <v>1151</v>
      </c>
      <c r="L18" s="1" t="s">
        <v>1133</v>
      </c>
      <c r="M18" s="1"/>
      <c r="N18" s="1" t="s">
        <v>665</v>
      </c>
    </row>
    <row x14ac:dyDescent="0.25" r="19" customHeight="1" ht="19.5">
      <c r="A19" s="1" t="s">
        <v>1150</v>
      </c>
      <c r="B19" s="1" t="s">
        <v>1114</v>
      </c>
      <c r="C19" s="36" t="s">
        <v>14</v>
      </c>
      <c r="D19" s="1" t="s">
        <v>1130</v>
      </c>
      <c r="E19" s="37" t="s">
        <v>358</v>
      </c>
      <c r="F19" s="61" t="s">
        <v>1102</v>
      </c>
      <c r="G19" s="62" t="s">
        <v>1107</v>
      </c>
      <c r="H19" s="7">
        <f>_xlfn.XLOOKUP(E19,commit_num_files!A$2:A$319,commit_num_files!B$2:B$319)</f>
      </c>
      <c r="I19" s="27">
        <f>_xlfn.XLOOKUP(C19,cve_title!A$2:A$164,cve_title!B$2:B$164)</f>
      </c>
      <c r="J19" s="1"/>
      <c r="K19" s="28" t="s">
        <v>1151</v>
      </c>
      <c r="L19" s="1" t="s">
        <v>1133</v>
      </c>
      <c r="M19" s="63" t="s">
        <v>1142</v>
      </c>
      <c r="N19" s="1" t="s">
        <v>665</v>
      </c>
    </row>
    <row x14ac:dyDescent="0.25" r="20" customHeight="1" ht="21">
      <c r="A20" s="29" t="s">
        <v>1152</v>
      </c>
      <c r="B20" s="29" t="s">
        <v>1114</v>
      </c>
      <c r="C20" s="30" t="s">
        <v>16</v>
      </c>
      <c r="D20" s="29" t="s">
        <v>1144</v>
      </c>
      <c r="E20" s="31" t="s">
        <v>351</v>
      </c>
      <c r="F20" s="64" t="s">
        <v>1100</v>
      </c>
      <c r="G20" s="65" t="s">
        <v>1107</v>
      </c>
      <c r="H20" s="41">
        <f>_xlfn.XLOOKUP(E20,commit_num_files!A$2:A$319,commit_num_files!B$2:B$319)</f>
      </c>
      <c r="I20" s="27">
        <f>_xlfn.XLOOKUP(C20,cve_title!A$2:A$164,cve_title!B$2:B$164)</f>
      </c>
      <c r="J20" s="29"/>
      <c r="K20" s="35" t="s">
        <v>1153</v>
      </c>
      <c r="L20" s="29" t="s">
        <v>1133</v>
      </c>
      <c r="M20" s="29"/>
      <c r="N20" s="29" t="s">
        <v>739</v>
      </c>
    </row>
    <row x14ac:dyDescent="0.25" r="21" customHeight="1" ht="20.25">
      <c r="A21" s="1" t="s">
        <v>1154</v>
      </c>
      <c r="B21" s="1" t="s">
        <v>1114</v>
      </c>
      <c r="C21" s="36" t="s">
        <v>18</v>
      </c>
      <c r="D21" s="1" t="s">
        <v>1147</v>
      </c>
      <c r="E21" s="37" t="s">
        <v>326</v>
      </c>
      <c r="F21" s="25" t="s">
        <v>1100</v>
      </c>
      <c r="G21" s="26" t="s">
        <v>1107</v>
      </c>
      <c r="H21" s="41">
        <f>_xlfn.XLOOKUP(E21,commit_num_files!A$2:A$319,commit_num_files!B$2:B$319)</f>
      </c>
      <c r="I21" s="15">
        <f>_xlfn.XLOOKUP(C21,cve_title!A$2:A$164,cve_title!B$2:B$164)</f>
      </c>
      <c r="J21" s="1"/>
      <c r="K21" s="28" t="s">
        <v>1155</v>
      </c>
      <c r="L21" s="1" t="s">
        <v>1133</v>
      </c>
      <c r="M21" s="1"/>
      <c r="N21" s="1" t="s">
        <v>673</v>
      </c>
    </row>
    <row x14ac:dyDescent="0.25" r="22" customHeight="1" ht="18.75">
      <c r="A22" s="1" t="s">
        <v>1154</v>
      </c>
      <c r="B22" s="1" t="s">
        <v>1114</v>
      </c>
      <c r="C22" s="36" t="s">
        <v>18</v>
      </c>
      <c r="D22" s="1" t="s">
        <v>1147</v>
      </c>
      <c r="E22" s="37" t="s">
        <v>326</v>
      </c>
      <c r="F22" s="61" t="s">
        <v>1100</v>
      </c>
      <c r="G22" s="62" t="s">
        <v>1106</v>
      </c>
      <c r="H22" s="7">
        <f>_xlfn.XLOOKUP(E22,commit_num_files!A$2:A$319,commit_num_files!B$2:B$319)</f>
      </c>
      <c r="I22" s="15">
        <f>_xlfn.XLOOKUP(C22,cve_title!A$2:A$164,cve_title!B$2:B$164)</f>
      </c>
      <c r="J22" s="1"/>
      <c r="K22" s="28" t="s">
        <v>1155</v>
      </c>
      <c r="L22" s="1" t="s">
        <v>1133</v>
      </c>
      <c r="M22" s="1"/>
      <c r="N22" s="1" t="s">
        <v>673</v>
      </c>
    </row>
    <row x14ac:dyDescent="0.25" r="23" customHeight="1" ht="18.75">
      <c r="A23" s="22" t="s">
        <v>1156</v>
      </c>
      <c r="B23" s="22" t="s">
        <v>1114</v>
      </c>
      <c r="C23" s="22" t="s">
        <v>20</v>
      </c>
      <c r="D23" s="22" t="s">
        <v>1130</v>
      </c>
      <c r="E23" s="24" t="s">
        <v>481</v>
      </c>
      <c r="F23" s="66" t="s">
        <v>1100</v>
      </c>
      <c r="G23" s="67" t="s">
        <v>1106</v>
      </c>
      <c r="H23" s="41">
        <f>_xlfn.XLOOKUP(E23,commit_num_files!A$2:A$319,commit_num_files!B$2:B$319)</f>
      </c>
      <c r="I23" s="42">
        <f>_xlfn.XLOOKUP(C23,cve_title!A$2:A$164,cve_title!B$2:B$164)</f>
      </c>
      <c r="J23" s="22"/>
      <c r="K23" s="43" t="s">
        <v>1157</v>
      </c>
      <c r="L23" s="22" t="s">
        <v>1149</v>
      </c>
      <c r="M23" s="22"/>
      <c r="N23" s="22" t="s">
        <v>667</v>
      </c>
    </row>
    <row x14ac:dyDescent="0.25" r="24" customHeight="1" ht="18.75">
      <c r="A24" s="1" t="s">
        <v>1156</v>
      </c>
      <c r="B24" s="1" t="s">
        <v>1114</v>
      </c>
      <c r="C24" s="1" t="s">
        <v>20</v>
      </c>
      <c r="D24" s="1" t="s">
        <v>1130</v>
      </c>
      <c r="E24" s="37" t="s">
        <v>481</v>
      </c>
      <c r="F24" s="68" t="s">
        <v>1100</v>
      </c>
      <c r="G24" s="57" t="s">
        <v>1106</v>
      </c>
      <c r="H24" s="7">
        <f>_xlfn.XLOOKUP(E24,commit_num_files!A$2:A$319,commit_num_files!B$2:B$319)</f>
      </c>
      <c r="I24" s="15">
        <f>_xlfn.XLOOKUP(C24,cve_title!A$2:A$164,cve_title!B$2:B$164)</f>
      </c>
      <c r="J24" s="1"/>
      <c r="K24" s="28" t="s">
        <v>1157</v>
      </c>
      <c r="L24" s="1" t="s">
        <v>1149</v>
      </c>
      <c r="M24" s="1"/>
      <c r="N24" s="1" t="s">
        <v>668</v>
      </c>
    </row>
    <row x14ac:dyDescent="0.25" r="25" customHeight="1" ht="18.75">
      <c r="A25" s="1" t="s">
        <v>1156</v>
      </c>
      <c r="B25" s="1" t="s">
        <v>1114</v>
      </c>
      <c r="C25" s="1" t="s">
        <v>20</v>
      </c>
      <c r="D25" s="1" t="s">
        <v>1130</v>
      </c>
      <c r="E25" s="37" t="s">
        <v>481</v>
      </c>
      <c r="F25" s="68" t="s">
        <v>1100</v>
      </c>
      <c r="G25" s="57" t="s">
        <v>1106</v>
      </c>
      <c r="H25" s="7">
        <f>_xlfn.XLOOKUP(E25,commit_num_files!A$2:A$319,commit_num_files!B$2:B$319)</f>
      </c>
      <c r="I25" s="15">
        <f>_xlfn.XLOOKUP(C25,cve_title!A$2:A$164,cve_title!B$2:B$164)</f>
      </c>
      <c r="J25" s="1"/>
      <c r="K25" s="28" t="s">
        <v>1157</v>
      </c>
      <c r="L25" s="1" t="s">
        <v>1149</v>
      </c>
      <c r="M25" s="1"/>
      <c r="N25" s="1" t="s">
        <v>669</v>
      </c>
    </row>
    <row x14ac:dyDescent="0.25" r="26" customHeight="1" ht="18.75">
      <c r="A26" s="1" t="s">
        <v>1156</v>
      </c>
      <c r="B26" s="1" t="s">
        <v>1114</v>
      </c>
      <c r="C26" s="1" t="s">
        <v>20</v>
      </c>
      <c r="D26" s="1" t="s">
        <v>1130</v>
      </c>
      <c r="E26" s="37" t="s">
        <v>481</v>
      </c>
      <c r="F26" s="68" t="s">
        <v>1100</v>
      </c>
      <c r="G26" s="57" t="s">
        <v>1106</v>
      </c>
      <c r="H26" s="7">
        <f>_xlfn.XLOOKUP(E26,commit_num_files!A$2:A$319,commit_num_files!B$2:B$319)</f>
      </c>
      <c r="I26" s="15">
        <f>_xlfn.XLOOKUP(C26,cve_title!A$2:A$164,cve_title!B$2:B$164)</f>
      </c>
      <c r="J26" s="1"/>
      <c r="K26" s="28" t="s">
        <v>1157</v>
      </c>
      <c r="L26" s="1" t="s">
        <v>1149</v>
      </c>
      <c r="M26" s="1"/>
      <c r="N26" s="1" t="s">
        <v>670</v>
      </c>
    </row>
    <row x14ac:dyDescent="0.25" r="27" customHeight="1" ht="18.75">
      <c r="A27" s="1" t="s">
        <v>1156</v>
      </c>
      <c r="B27" s="1" t="s">
        <v>1114</v>
      </c>
      <c r="C27" s="1" t="s">
        <v>20</v>
      </c>
      <c r="D27" s="1" t="s">
        <v>1130</v>
      </c>
      <c r="E27" s="37" t="s">
        <v>481</v>
      </c>
      <c r="F27" s="68" t="s">
        <v>1100</v>
      </c>
      <c r="G27" s="57" t="s">
        <v>1106</v>
      </c>
      <c r="H27" s="7">
        <f>_xlfn.XLOOKUP(E27,commit_num_files!A$2:A$319,commit_num_files!B$2:B$319)</f>
      </c>
      <c r="I27" s="15">
        <f>_xlfn.XLOOKUP(C27,cve_title!A$2:A$164,cve_title!B$2:B$164)</f>
      </c>
      <c r="J27" s="1"/>
      <c r="K27" s="28" t="s">
        <v>1157</v>
      </c>
      <c r="L27" s="1" t="s">
        <v>1149</v>
      </c>
      <c r="M27" s="1"/>
      <c r="N27" s="1" t="s">
        <v>671</v>
      </c>
    </row>
    <row x14ac:dyDescent="0.25" r="28" customHeight="1" ht="18.75">
      <c r="A28" s="1" t="s">
        <v>1156</v>
      </c>
      <c r="B28" s="1" t="s">
        <v>1114</v>
      </c>
      <c r="C28" s="1" t="s">
        <v>20</v>
      </c>
      <c r="D28" s="1" t="s">
        <v>1130</v>
      </c>
      <c r="E28" s="37" t="s">
        <v>481</v>
      </c>
      <c r="F28" s="56" t="s">
        <v>1100</v>
      </c>
      <c r="G28" s="56" t="s">
        <v>1107</v>
      </c>
      <c r="H28" s="69">
        <f>_xlfn.XLOOKUP(E28,commit_num_files!A$2:A$319,commit_num_files!B$2:B$319)</f>
      </c>
      <c r="I28" s="15">
        <f>_xlfn.XLOOKUP(C28,cve_title!A$2:A$164,cve_title!B$2:B$164)</f>
      </c>
      <c r="J28" s="1"/>
      <c r="K28" s="1" t="s">
        <v>1157</v>
      </c>
      <c r="L28" s="1" t="s">
        <v>1149</v>
      </c>
      <c r="M28" s="1"/>
      <c r="N28" s="1" t="s">
        <v>672</v>
      </c>
    </row>
    <row x14ac:dyDescent="0.25" r="29" customHeight="1" ht="18.75">
      <c r="A29" s="44" t="s">
        <v>1156</v>
      </c>
      <c r="B29" s="44" t="s">
        <v>1114</v>
      </c>
      <c r="C29" s="44" t="s">
        <v>20</v>
      </c>
      <c r="D29" s="44" t="s">
        <v>1130</v>
      </c>
      <c r="E29" s="46" t="s">
        <v>481</v>
      </c>
      <c r="F29" s="58" t="s">
        <v>1102</v>
      </c>
      <c r="G29" s="59" t="s">
        <v>1107</v>
      </c>
      <c r="H29" s="7">
        <f>_xlfn.XLOOKUP(E29,commit_num_files!A$2:A$319,commit_num_files!B$2:B$319)</f>
      </c>
      <c r="I29" s="15">
        <f>_xlfn.XLOOKUP(C29,cve_title!A$2:A$164,cve_title!B$2:B$164)</f>
      </c>
      <c r="J29" s="1"/>
      <c r="K29" s="44" t="s">
        <v>1157</v>
      </c>
      <c r="L29" s="44" t="s">
        <v>1149</v>
      </c>
      <c r="M29" s="44" t="s">
        <v>1158</v>
      </c>
      <c r="N29" s="44" t="s">
        <v>1159</v>
      </c>
    </row>
    <row x14ac:dyDescent="0.25" r="30" customHeight="1" ht="18.75">
      <c r="A30" s="1" t="s">
        <v>1160</v>
      </c>
      <c r="B30" s="1" t="s">
        <v>1114</v>
      </c>
      <c r="C30" s="1" t="s">
        <v>22</v>
      </c>
      <c r="D30" s="1" t="s">
        <v>1147</v>
      </c>
      <c r="E30" s="37" t="s">
        <v>464</v>
      </c>
      <c r="F30" s="54" t="s">
        <v>1097</v>
      </c>
      <c r="G30" s="55" t="s">
        <v>1106</v>
      </c>
      <c r="H30" s="41">
        <f>_xlfn.XLOOKUP(E30,commit_num_files!A$2:A$319,commit_num_files!B$2:B$319)</f>
      </c>
      <c r="I30" s="42">
        <f>_xlfn.XLOOKUP(C30,cve_title!A$2:A$164,cve_title!B$2:B$164)</f>
      </c>
      <c r="J30" s="1"/>
      <c r="K30" s="28" t="s">
        <v>1161</v>
      </c>
      <c r="L30" s="1" t="s">
        <v>1149</v>
      </c>
      <c r="M30" s="1"/>
      <c r="N30" s="1" t="s">
        <v>789</v>
      </c>
    </row>
    <row x14ac:dyDescent="0.25" r="31" customHeight="1" ht="18.75">
      <c r="A31" s="1" t="s">
        <v>1160</v>
      </c>
      <c r="B31" s="1" t="s">
        <v>1114</v>
      </c>
      <c r="C31" s="1" t="s">
        <v>22</v>
      </c>
      <c r="D31" s="1" t="s">
        <v>1147</v>
      </c>
      <c r="E31" s="37" t="s">
        <v>464</v>
      </c>
      <c r="F31" s="54" t="s">
        <v>1097</v>
      </c>
      <c r="G31" s="55" t="s">
        <v>1106</v>
      </c>
      <c r="H31" s="69">
        <f>_xlfn.XLOOKUP(E31,commit_num_files!A$2:A$319,commit_num_files!B$2:B$319)</f>
      </c>
      <c r="I31" s="15">
        <f>_xlfn.XLOOKUP(C31,cve_title!A$2:A$164,cve_title!B$2:B$164)</f>
      </c>
      <c r="J31" s="1"/>
      <c r="K31" s="1" t="s">
        <v>1161</v>
      </c>
      <c r="L31" s="1" t="s">
        <v>1149</v>
      </c>
      <c r="M31" s="1"/>
      <c r="N31" s="1" t="s">
        <v>792</v>
      </c>
    </row>
    <row x14ac:dyDescent="0.25" r="32" customHeight="1" ht="18.75">
      <c r="A32" s="1" t="s">
        <v>1160</v>
      </c>
      <c r="B32" s="1" t="s">
        <v>1114</v>
      </c>
      <c r="C32" s="1" t="s">
        <v>22</v>
      </c>
      <c r="D32" s="1" t="s">
        <v>1147</v>
      </c>
      <c r="E32" s="37" t="s">
        <v>464</v>
      </c>
      <c r="F32" s="54" t="s">
        <v>1097</v>
      </c>
      <c r="G32" s="55" t="s">
        <v>1106</v>
      </c>
      <c r="H32" s="69">
        <f>_xlfn.XLOOKUP(E32,commit_num_files!A$2:A$319,commit_num_files!B$2:B$319)</f>
      </c>
      <c r="I32" s="15">
        <f>_xlfn.XLOOKUP(C32,cve_title!A$2:A$164,cve_title!B$2:B$164)</f>
      </c>
      <c r="J32" s="1"/>
      <c r="K32" s="1" t="s">
        <v>1161</v>
      </c>
      <c r="L32" s="1" t="s">
        <v>1149</v>
      </c>
      <c r="M32" s="1"/>
      <c r="N32" s="1" t="s">
        <v>793</v>
      </c>
    </row>
    <row x14ac:dyDescent="0.25" r="33" customHeight="1" ht="18.75">
      <c r="A33" s="1" t="s">
        <v>1160</v>
      </c>
      <c r="B33" s="1" t="s">
        <v>1114</v>
      </c>
      <c r="C33" s="1" t="s">
        <v>22</v>
      </c>
      <c r="D33" s="1" t="s">
        <v>1147</v>
      </c>
      <c r="E33" s="37" t="s">
        <v>464</v>
      </c>
      <c r="F33" s="56" t="s">
        <v>1100</v>
      </c>
      <c r="G33" s="57" t="s">
        <v>1108</v>
      </c>
      <c r="H33" s="70">
        <f>_xlfn.XLOOKUP(E33,commit_num_files!A$2:A$319,commit_num_files!B$2:B$319)</f>
      </c>
      <c r="I33" s="15">
        <f>_xlfn.XLOOKUP(C33,cve_title!A$2:A$164,cve_title!B$2:B$164)</f>
      </c>
      <c r="J33" s="1"/>
      <c r="K33" s="1" t="s">
        <v>1161</v>
      </c>
      <c r="L33" s="1" t="s">
        <v>1149</v>
      </c>
      <c r="M33" s="1"/>
      <c r="N33" s="1" t="s">
        <v>791</v>
      </c>
    </row>
    <row x14ac:dyDescent="0.25" r="34" customHeight="1" ht="18.75">
      <c r="A34" s="22" t="s">
        <v>1162</v>
      </c>
      <c r="B34" s="22" t="s">
        <v>1114</v>
      </c>
      <c r="C34" s="23" t="s">
        <v>24</v>
      </c>
      <c r="D34" s="22" t="s">
        <v>1147</v>
      </c>
      <c r="E34" s="24" t="s">
        <v>363</v>
      </c>
      <c r="F34" s="39" t="s">
        <v>1097</v>
      </c>
      <c r="G34" s="40" t="s">
        <v>1106</v>
      </c>
      <c r="H34" s="41">
        <f>_xlfn.XLOOKUP(E34,commit_num_files!A$2:A$319,commit_num_files!B$2:B$319)</f>
      </c>
      <c r="I34" s="42">
        <f>_xlfn.XLOOKUP(C34,cve_title!A$2:A$164,cve_title!B$2:B$164)</f>
      </c>
      <c r="J34" s="22"/>
      <c r="K34" s="43" t="s">
        <v>1163</v>
      </c>
      <c r="L34" s="22" t="s">
        <v>1133</v>
      </c>
      <c r="M34" s="22"/>
      <c r="N34" s="22" t="s">
        <v>768</v>
      </c>
    </row>
    <row x14ac:dyDescent="0.25" r="35" customHeight="1" ht="18.75">
      <c r="A35" s="44" t="s">
        <v>1162</v>
      </c>
      <c r="B35" s="44" t="s">
        <v>1114</v>
      </c>
      <c r="C35" s="45" t="s">
        <v>24</v>
      </c>
      <c r="D35" s="44" t="s">
        <v>1147</v>
      </c>
      <c r="E35" s="46" t="s">
        <v>363</v>
      </c>
      <c r="F35" s="47" t="s">
        <v>1100</v>
      </c>
      <c r="G35" s="48" t="s">
        <v>1107</v>
      </c>
      <c r="H35" s="49">
        <f>_xlfn.XLOOKUP(E35,commit_num_files!A$2:A$319,commit_num_files!B$2:B$319)</f>
      </c>
      <c r="I35" s="27">
        <f>_xlfn.XLOOKUP(C35,cve_title!A$2:A$164,cve_title!B$2:B$164)</f>
      </c>
      <c r="J35" s="44"/>
      <c r="K35" s="44" t="s">
        <v>1163</v>
      </c>
      <c r="L35" s="44" t="s">
        <v>1133</v>
      </c>
      <c r="M35" s="51" t="s">
        <v>1142</v>
      </c>
      <c r="N35" s="44" t="s">
        <v>768</v>
      </c>
    </row>
    <row x14ac:dyDescent="0.25" r="36" customHeight="1" ht="18.75">
      <c r="A36" s="1" t="s">
        <v>1164</v>
      </c>
      <c r="B36" s="1" t="s">
        <v>1114</v>
      </c>
      <c r="C36" s="1" t="s">
        <v>26</v>
      </c>
      <c r="D36" s="1" t="s">
        <v>1147</v>
      </c>
      <c r="E36" s="37" t="s">
        <v>463</v>
      </c>
      <c r="F36" s="1" t="s">
        <v>1102</v>
      </c>
      <c r="G36" s="37" t="s">
        <v>1107</v>
      </c>
      <c r="H36" s="41">
        <f>_xlfn.XLOOKUP(E36,commit_num_files!A$2:A$319,commit_num_files!B$2:B$319)</f>
      </c>
      <c r="I36" s="15">
        <f>_xlfn.XLOOKUP(C36,cve_title!A$2:A$164,cve_title!B$2:B$164)</f>
      </c>
      <c r="J36" s="1"/>
      <c r="K36" s="28" t="s">
        <v>1165</v>
      </c>
      <c r="L36" s="1" t="s">
        <v>1149</v>
      </c>
      <c r="M36" s="1"/>
      <c r="N36" s="1" t="s">
        <v>801</v>
      </c>
    </row>
    <row x14ac:dyDescent="0.25" r="37" customHeight="1" ht="18.75">
      <c r="A37" s="1" t="s">
        <v>1164</v>
      </c>
      <c r="B37" s="1" t="s">
        <v>1114</v>
      </c>
      <c r="C37" s="1" t="s">
        <v>26</v>
      </c>
      <c r="D37" s="1" t="s">
        <v>1147</v>
      </c>
      <c r="E37" s="37" t="s">
        <v>463</v>
      </c>
      <c r="F37" s="1" t="s">
        <v>1097</v>
      </c>
      <c r="G37" s="37" t="s">
        <v>1107</v>
      </c>
      <c r="H37" s="69">
        <f>_xlfn.XLOOKUP(E37,commit_num_files!A$2:A$319,commit_num_files!B$2:B$319)</f>
      </c>
      <c r="I37" s="15">
        <f>_xlfn.XLOOKUP(C37,cve_title!A$2:A$164,cve_title!B$2:B$164)</f>
      </c>
      <c r="J37" s="1"/>
      <c r="K37" s="28" t="s">
        <v>1165</v>
      </c>
      <c r="L37" s="1" t="s">
        <v>1149</v>
      </c>
      <c r="M37" s="1"/>
      <c r="N37" s="1" t="s">
        <v>802</v>
      </c>
    </row>
    <row x14ac:dyDescent="0.25" r="38" customHeight="1" ht="18.75">
      <c r="A38" s="1" t="s">
        <v>1164</v>
      </c>
      <c r="B38" s="1" t="s">
        <v>1114</v>
      </c>
      <c r="C38" s="1" t="s">
        <v>26</v>
      </c>
      <c r="D38" s="1" t="s">
        <v>1147</v>
      </c>
      <c r="E38" s="37" t="s">
        <v>463</v>
      </c>
      <c r="F38" s="1" t="s">
        <v>1097</v>
      </c>
      <c r="G38" s="37" t="s">
        <v>1107</v>
      </c>
      <c r="H38" s="69">
        <f>_xlfn.XLOOKUP(E38,commit_num_files!A$2:A$319,commit_num_files!B$2:B$319)</f>
      </c>
      <c r="I38" s="15">
        <f>_xlfn.XLOOKUP(C38,cve_title!A$2:A$164,cve_title!B$2:B$164)</f>
      </c>
      <c r="J38" s="1"/>
      <c r="K38" s="28" t="s">
        <v>1165</v>
      </c>
      <c r="L38" s="1" t="s">
        <v>1149</v>
      </c>
      <c r="M38" s="1"/>
      <c r="N38" s="1" t="s">
        <v>803</v>
      </c>
    </row>
    <row x14ac:dyDescent="0.25" r="39" customHeight="1" ht="18.75">
      <c r="A39" s="1" t="s">
        <v>1164</v>
      </c>
      <c r="B39" s="1" t="s">
        <v>1114</v>
      </c>
      <c r="C39" s="1" t="s">
        <v>26</v>
      </c>
      <c r="D39" s="1" t="s">
        <v>1147</v>
      </c>
      <c r="E39" s="37" t="s">
        <v>463</v>
      </c>
      <c r="F39" s="1" t="s">
        <v>1097</v>
      </c>
      <c r="G39" s="37" t="s">
        <v>1107</v>
      </c>
      <c r="H39" s="70">
        <f>_xlfn.XLOOKUP(E39,commit_num_files!A$2:A$319,commit_num_files!B$2:B$319)</f>
      </c>
      <c r="I39" s="15">
        <f>_xlfn.XLOOKUP(C39,cve_title!A$2:A$164,cve_title!B$2:B$164)</f>
      </c>
      <c r="J39" s="1"/>
      <c r="K39" s="28" t="s">
        <v>1165</v>
      </c>
      <c r="L39" s="1" t="s">
        <v>1149</v>
      </c>
      <c r="M39" s="1"/>
      <c r="N39" s="1" t="s">
        <v>804</v>
      </c>
    </row>
    <row x14ac:dyDescent="0.25" r="40" customHeight="1" ht="18.75">
      <c r="A40" s="71" t="s">
        <v>1166</v>
      </c>
      <c r="B40" s="71" t="s">
        <v>1114</v>
      </c>
      <c r="C40" s="71" t="s">
        <v>28</v>
      </c>
      <c r="D40" s="71" t="s">
        <v>1167</v>
      </c>
      <c r="E40" s="67" t="s">
        <v>444</v>
      </c>
      <c r="F40" s="71" t="s">
        <v>1097</v>
      </c>
      <c r="G40" s="67" t="s">
        <v>1107</v>
      </c>
      <c r="H40" s="72">
        <f>_xlfn.XLOOKUP(E40,commit_num_files!A$2:A$319,commit_num_files!B$2:B$319)</f>
      </c>
      <c r="I40" s="42">
        <f>_xlfn.XLOOKUP(C40,cve_title!A$2:A$164,cve_title!B$2:B$164)</f>
      </c>
      <c r="J40" s="71"/>
      <c r="K40" s="71" t="s">
        <v>1168</v>
      </c>
      <c r="L40" s="71" t="s">
        <v>1149</v>
      </c>
      <c r="M40" s="71"/>
      <c r="N40" s="71" t="s">
        <v>1169</v>
      </c>
    </row>
    <row x14ac:dyDescent="0.25" r="41" customHeight="1" ht="18.75">
      <c r="A41" s="56" t="s">
        <v>1166</v>
      </c>
      <c r="B41" s="56" t="s">
        <v>1114</v>
      </c>
      <c r="C41" s="56" t="s">
        <v>28</v>
      </c>
      <c r="D41" s="56" t="s">
        <v>1167</v>
      </c>
      <c r="E41" s="56" t="s">
        <v>444</v>
      </c>
      <c r="F41" s="68" t="s">
        <v>1100</v>
      </c>
      <c r="G41" s="57" t="s">
        <v>1107</v>
      </c>
      <c r="H41" s="73">
        <f>_xlfn.XLOOKUP(E41,commit_num_files!A$2:A$319,commit_num_files!B$2:B$319)</f>
      </c>
      <c r="I41" s="15">
        <f>_xlfn.XLOOKUP(C41,cve_title!A$2:A$164,cve_title!B$2:B$164)</f>
      </c>
      <c r="J41" s="1"/>
      <c r="K41" s="56" t="s">
        <v>1168</v>
      </c>
      <c r="L41" s="56" t="s">
        <v>1149</v>
      </c>
      <c r="M41" s="1"/>
      <c r="N41" s="56" t="s">
        <v>838</v>
      </c>
    </row>
    <row x14ac:dyDescent="0.25" r="42" customHeight="1" ht="18.75">
      <c r="A42" s="56" t="s">
        <v>1166</v>
      </c>
      <c r="B42" s="56" t="s">
        <v>1114</v>
      </c>
      <c r="C42" s="56" t="s">
        <v>28</v>
      </c>
      <c r="D42" s="56" t="s">
        <v>1167</v>
      </c>
      <c r="E42" s="57" t="s">
        <v>444</v>
      </c>
      <c r="F42" s="58" t="s">
        <v>1100</v>
      </c>
      <c r="G42" s="59" t="s">
        <v>1106</v>
      </c>
      <c r="H42" s="74">
        <f>_xlfn.XLOOKUP(E42,commit_num_files!A$2:A$319,commit_num_files!B$2:B$319)</f>
      </c>
      <c r="I42" s="15">
        <f>_xlfn.XLOOKUP(C42,cve_title!A$2:A$164,cve_title!B$2:B$164)</f>
      </c>
      <c r="J42" s="1"/>
      <c r="K42" s="58" t="s">
        <v>1168</v>
      </c>
      <c r="L42" s="58" t="s">
        <v>1149</v>
      </c>
      <c r="M42" s="1"/>
      <c r="N42" s="58" t="s">
        <v>839</v>
      </c>
    </row>
    <row x14ac:dyDescent="0.25" r="43" customHeight="1" ht="18.75">
      <c r="A43" s="75" t="s">
        <v>1170</v>
      </c>
      <c r="B43" s="76" t="s">
        <v>1114</v>
      </c>
      <c r="C43" s="64" t="s">
        <v>30</v>
      </c>
      <c r="D43" s="76" t="s">
        <v>1130</v>
      </c>
      <c r="E43" s="76" t="s">
        <v>370</v>
      </c>
      <c r="F43" s="77" t="s">
        <v>1097</v>
      </c>
      <c r="G43" s="26" t="s">
        <v>1106</v>
      </c>
      <c r="H43" s="72">
        <f>_xlfn.XLOOKUP(E43,commit_num_files!A$2:A$319,commit_num_files!B$2:B$319)</f>
      </c>
      <c r="I43" s="38">
        <f>_xlfn.XLOOKUP(C43,cve_title!A$2:A$164,cve_title!B$2:B$164)</f>
      </c>
      <c r="J43" s="1"/>
      <c r="K43" s="28" t="s">
        <v>1171</v>
      </c>
      <c r="L43" s="56" t="s">
        <v>1133</v>
      </c>
      <c r="M43" s="1"/>
      <c r="N43" s="56" t="s">
        <v>871</v>
      </c>
    </row>
    <row x14ac:dyDescent="0.25" r="44" customHeight="1" ht="18.75">
      <c r="A44" s="76" t="s">
        <v>1172</v>
      </c>
      <c r="B44" s="76" t="s">
        <v>1114</v>
      </c>
      <c r="C44" s="64" t="s">
        <v>32</v>
      </c>
      <c r="D44" s="76" t="s">
        <v>1130</v>
      </c>
      <c r="E44" s="78" t="s">
        <v>404</v>
      </c>
      <c r="F44" s="32" t="s">
        <v>1100</v>
      </c>
      <c r="G44" s="33" t="s">
        <v>1107</v>
      </c>
      <c r="H44" s="72">
        <f>_xlfn.XLOOKUP(E44,commit_num_files!A$2:A$319,commit_num_files!B$2:B$319)</f>
      </c>
      <c r="I44" s="38">
        <f>_xlfn.XLOOKUP(C44,cve_title!A$2:A$164,cve_title!B$2:B$164)</f>
      </c>
      <c r="J44" s="76"/>
      <c r="K44" s="35" t="s">
        <v>1173</v>
      </c>
      <c r="L44" s="76" t="s">
        <v>1133</v>
      </c>
      <c r="M44" s="76"/>
      <c r="N44" s="76" t="s">
        <v>921</v>
      </c>
    </row>
    <row x14ac:dyDescent="0.25" r="45" customHeight="1" ht="18.75">
      <c r="A45" s="1" t="s">
        <v>1174</v>
      </c>
      <c r="B45" s="1" t="s">
        <v>1114</v>
      </c>
      <c r="C45" s="36" t="s">
        <v>34</v>
      </c>
      <c r="D45" s="1" t="s">
        <v>1147</v>
      </c>
      <c r="E45" s="37" t="s">
        <v>407</v>
      </c>
      <c r="F45" s="25" t="s">
        <v>1097</v>
      </c>
      <c r="G45" s="26" t="s">
        <v>1107</v>
      </c>
      <c r="H45" s="41">
        <f>_xlfn.XLOOKUP(E45,commit_num_files!A$2:A$319,commit_num_files!B$2:B$319)</f>
      </c>
      <c r="I45" s="38">
        <f>_xlfn.XLOOKUP(C45,cve_title!A$2:A$164,cve_title!B$2:B$164)</f>
      </c>
      <c r="J45" s="1"/>
      <c r="K45" s="28" t="s">
        <v>1175</v>
      </c>
      <c r="L45" s="1" t="s">
        <v>1133</v>
      </c>
      <c r="M45" s="1"/>
      <c r="N45" s="1" t="s">
        <v>713</v>
      </c>
    </row>
    <row x14ac:dyDescent="0.25" r="46" customHeight="1" ht="18.75">
      <c r="A46" s="29" t="s">
        <v>1176</v>
      </c>
      <c r="B46" s="29" t="s">
        <v>1114</v>
      </c>
      <c r="C46" s="30" t="s">
        <v>36</v>
      </c>
      <c r="D46" s="29" t="s">
        <v>1130</v>
      </c>
      <c r="E46" s="31" t="s">
        <v>395</v>
      </c>
      <c r="F46" s="32" t="s">
        <v>1100</v>
      </c>
      <c r="G46" s="33" t="s">
        <v>1106</v>
      </c>
      <c r="H46" s="41">
        <f>_xlfn.XLOOKUP(E46,commit_num_files!A$2:A$319,commit_num_files!B$2:B$319)</f>
      </c>
      <c r="I46" s="27">
        <f>_xlfn.XLOOKUP(C46,cve_title!A$2:A$164,cve_title!B$2:B$164)</f>
      </c>
      <c r="J46" s="29"/>
      <c r="K46" s="35" t="s">
        <v>1177</v>
      </c>
      <c r="L46" s="29" t="s">
        <v>1133</v>
      </c>
      <c r="M46" s="29"/>
      <c r="N46" s="29" t="s">
        <v>754</v>
      </c>
    </row>
    <row x14ac:dyDescent="0.25" r="47" customHeight="1" ht="18.75">
      <c r="A47" s="1" t="s">
        <v>1178</v>
      </c>
      <c r="B47" s="1" t="s">
        <v>1114</v>
      </c>
      <c r="C47" s="36" t="s">
        <v>38</v>
      </c>
      <c r="D47" s="1" t="s">
        <v>1147</v>
      </c>
      <c r="E47" s="37" t="s">
        <v>375</v>
      </c>
      <c r="F47" s="25" t="s">
        <v>1100</v>
      </c>
      <c r="G47" s="26" t="s">
        <v>1107</v>
      </c>
      <c r="H47" s="41">
        <f>_xlfn.XLOOKUP(E47,commit_num_files!A$2:A$319,commit_num_files!B$2:B$319)</f>
      </c>
      <c r="I47" s="38">
        <f>_xlfn.XLOOKUP(C47,cve_title!A$2:A$164,cve_title!B$2:B$164)</f>
      </c>
      <c r="J47" s="1"/>
      <c r="K47" s="28" t="s">
        <v>1179</v>
      </c>
      <c r="L47" s="1" t="s">
        <v>1133</v>
      </c>
      <c r="M47" s="1"/>
      <c r="N47" s="1" t="s">
        <v>709</v>
      </c>
    </row>
    <row x14ac:dyDescent="0.25" r="48" customHeight="1" ht="18.75">
      <c r="A48" s="29" t="s">
        <v>1180</v>
      </c>
      <c r="B48" s="29" t="s">
        <v>1114</v>
      </c>
      <c r="C48" s="30" t="s">
        <v>40</v>
      </c>
      <c r="D48" s="29" t="s">
        <v>1130</v>
      </c>
      <c r="E48" s="31" t="s">
        <v>356</v>
      </c>
      <c r="F48" s="32" t="s">
        <v>1100</v>
      </c>
      <c r="G48" s="33" t="s">
        <v>1106</v>
      </c>
      <c r="H48" s="41">
        <f>_xlfn.XLOOKUP(E48,commit_num_files!A$2:A$319,commit_num_files!B$2:B$319)</f>
      </c>
      <c r="I48" s="15">
        <f>_xlfn.XLOOKUP(C48,cve_title!A$2:A$164,cve_title!B$2:B$164)</f>
      </c>
      <c r="J48" s="29" t="s">
        <v>1181</v>
      </c>
      <c r="K48" s="35" t="s">
        <v>1182</v>
      </c>
      <c r="L48" s="29" t="s">
        <v>1133</v>
      </c>
      <c r="M48" s="29"/>
      <c r="N48" s="29" t="s">
        <v>856</v>
      </c>
    </row>
    <row x14ac:dyDescent="0.25" r="49" customHeight="1" ht="18.75">
      <c r="A49" s="1" t="s">
        <v>1183</v>
      </c>
      <c r="B49" s="1" t="s">
        <v>1114</v>
      </c>
      <c r="C49" s="36" t="s">
        <v>42</v>
      </c>
      <c r="D49" s="1" t="s">
        <v>1144</v>
      </c>
      <c r="E49" s="37" t="s">
        <v>354</v>
      </c>
      <c r="F49" s="61" t="s">
        <v>1104</v>
      </c>
      <c r="G49" s="79" t="s">
        <v>1106</v>
      </c>
      <c r="H49" s="41">
        <f>_xlfn.XLOOKUP(E49,commit_num_files!A$2:A$319,commit_num_files!B$2:B$319)</f>
      </c>
      <c r="I49" s="38">
        <f>_xlfn.XLOOKUP(C49,cve_title!A$2:A$164,cve_title!B$2:B$164)</f>
      </c>
      <c r="J49" s="1" t="s">
        <v>1184</v>
      </c>
      <c r="K49" s="28" t="s">
        <v>1185</v>
      </c>
      <c r="L49" s="1" t="s">
        <v>1133</v>
      </c>
      <c r="M49" s="63" t="s">
        <v>1186</v>
      </c>
      <c r="N49" s="1" t="s">
        <v>681</v>
      </c>
    </row>
    <row x14ac:dyDescent="0.25" r="50" customHeight="1" ht="18.75">
      <c r="A50" s="29" t="s">
        <v>1187</v>
      </c>
      <c r="B50" s="29" t="s">
        <v>1114</v>
      </c>
      <c r="C50" s="29" t="s">
        <v>44</v>
      </c>
      <c r="D50" s="29" t="s">
        <v>1130</v>
      </c>
      <c r="E50" s="31" t="s">
        <v>424</v>
      </c>
      <c r="F50" s="76" t="s">
        <v>1104</v>
      </c>
      <c r="G50" s="31" t="s">
        <v>1107</v>
      </c>
      <c r="H50" s="41">
        <f>_xlfn.XLOOKUP(E50,commit_num_files!A$2:A$319,commit_num_files!B$2:B$319)</f>
      </c>
      <c r="I50" s="38">
        <f>_xlfn.XLOOKUP(C50,cve_title!A$2:A$164,cve_title!B$2:B$164)</f>
      </c>
      <c r="J50" s="29"/>
      <c r="K50" s="35" t="s">
        <v>1188</v>
      </c>
      <c r="L50" s="29"/>
      <c r="M50" s="29" t="s">
        <v>1189</v>
      </c>
      <c r="N50" s="29" t="s">
        <v>711</v>
      </c>
    </row>
    <row x14ac:dyDescent="0.25" r="51" customHeight="1" ht="18.75">
      <c r="A51" s="29" t="s">
        <v>1190</v>
      </c>
      <c r="B51" s="29" t="s">
        <v>1114</v>
      </c>
      <c r="C51" s="30" t="s">
        <v>44</v>
      </c>
      <c r="D51" s="29" t="s">
        <v>1130</v>
      </c>
      <c r="E51" s="31" t="s">
        <v>386</v>
      </c>
      <c r="F51" s="32" t="s">
        <v>1097</v>
      </c>
      <c r="G51" s="33" t="s">
        <v>1106</v>
      </c>
      <c r="H51" s="41">
        <f>_xlfn.XLOOKUP(E51,commit_num_files!A$2:A$319,commit_num_files!B$2:B$319)</f>
      </c>
      <c r="I51" s="38">
        <f>_xlfn.XLOOKUP(C51,cve_title!A$2:A$164,cve_title!B$2:B$164)</f>
      </c>
      <c r="J51" s="29"/>
      <c r="K51" s="35" t="s">
        <v>1191</v>
      </c>
      <c r="L51" s="29" t="s">
        <v>1133</v>
      </c>
      <c r="M51" s="29"/>
      <c r="N51" s="29" t="s">
        <v>897</v>
      </c>
    </row>
    <row x14ac:dyDescent="0.25" r="52" customHeight="1" ht="18.75">
      <c r="A52" s="1" t="s">
        <v>1192</v>
      </c>
      <c r="B52" s="1" t="s">
        <v>1114</v>
      </c>
      <c r="C52" s="1" t="s">
        <v>46</v>
      </c>
      <c r="D52" s="1" t="s">
        <v>1130</v>
      </c>
      <c r="E52" s="37" t="s">
        <v>468</v>
      </c>
      <c r="F52" s="1" t="s">
        <v>1097</v>
      </c>
      <c r="G52" s="37" t="s">
        <v>1107</v>
      </c>
      <c r="H52" s="41">
        <f>_xlfn.XLOOKUP(E52,commit_num_files!A$2:A$319,commit_num_files!B$2:B$319)</f>
      </c>
      <c r="I52" s="15">
        <f>_xlfn.XLOOKUP(C52,cve_title!A$2:A$164,cve_title!B$2:B$164)</f>
      </c>
      <c r="J52" s="1"/>
      <c r="K52" s="28" t="s">
        <v>1193</v>
      </c>
      <c r="L52" s="1" t="s">
        <v>1149</v>
      </c>
      <c r="M52" s="1"/>
      <c r="N52" s="1" t="s">
        <v>891</v>
      </c>
    </row>
    <row x14ac:dyDescent="0.25" r="53" customHeight="1" ht="18.75">
      <c r="A53" s="1" t="s">
        <v>1192</v>
      </c>
      <c r="B53" s="1" t="s">
        <v>1114</v>
      </c>
      <c r="C53" s="1" t="s">
        <v>46</v>
      </c>
      <c r="D53" s="1" t="s">
        <v>1130</v>
      </c>
      <c r="E53" s="37" t="s">
        <v>468</v>
      </c>
      <c r="F53" s="1" t="s">
        <v>1100</v>
      </c>
      <c r="G53" s="37" t="s">
        <v>1106</v>
      </c>
      <c r="H53" s="7">
        <f>_xlfn.XLOOKUP(E53,commit_num_files!A$2:A$319,commit_num_files!B$2:B$319)</f>
      </c>
      <c r="I53" s="15">
        <f>_xlfn.XLOOKUP(C53,cve_title!A$2:A$164,cve_title!B$2:B$164)</f>
      </c>
      <c r="J53" s="1"/>
      <c r="K53" s="28" t="s">
        <v>1193</v>
      </c>
      <c r="L53" s="1" t="s">
        <v>1149</v>
      </c>
      <c r="M53" s="1"/>
      <c r="N53" s="1" t="s">
        <v>892</v>
      </c>
    </row>
    <row x14ac:dyDescent="0.25" r="54" customHeight="1" ht="18.75">
      <c r="A54" s="1" t="s">
        <v>1192</v>
      </c>
      <c r="B54" s="1" t="s">
        <v>1114</v>
      </c>
      <c r="C54" s="1" t="s">
        <v>46</v>
      </c>
      <c r="D54" s="1" t="s">
        <v>1130</v>
      </c>
      <c r="E54" s="37" t="s">
        <v>468</v>
      </c>
      <c r="F54" s="1" t="s">
        <v>1100</v>
      </c>
      <c r="G54" s="37" t="s">
        <v>1106</v>
      </c>
      <c r="H54" s="7">
        <f>_xlfn.XLOOKUP(E54,commit_num_files!A$2:A$319,commit_num_files!B$2:B$319)</f>
      </c>
      <c r="I54" s="15">
        <f>_xlfn.XLOOKUP(C54,cve_title!A$2:A$164,cve_title!B$2:B$164)</f>
      </c>
      <c r="J54" s="1"/>
      <c r="K54" s="1" t="s">
        <v>1193</v>
      </c>
      <c r="L54" s="1" t="s">
        <v>1149</v>
      </c>
      <c r="M54" s="1"/>
      <c r="N54" s="1" t="s">
        <v>893</v>
      </c>
    </row>
    <row x14ac:dyDescent="0.25" r="55" customHeight="1" ht="18.75">
      <c r="A55" s="1" t="s">
        <v>1192</v>
      </c>
      <c r="B55" s="1" t="s">
        <v>1114</v>
      </c>
      <c r="C55" s="1" t="s">
        <v>46</v>
      </c>
      <c r="D55" s="1" t="s">
        <v>1130</v>
      </c>
      <c r="E55" s="37" t="s">
        <v>468</v>
      </c>
      <c r="F55" s="56" t="s">
        <v>1100</v>
      </c>
      <c r="G55" s="37" t="s">
        <v>1107</v>
      </c>
      <c r="H55" s="7">
        <f>_xlfn.XLOOKUP(E55,commit_num_files!A$2:A$319,commit_num_files!B$2:B$319)</f>
      </c>
      <c r="I55" s="15">
        <f>_xlfn.XLOOKUP(C55,cve_title!A$2:A$164,cve_title!B$2:B$164)</f>
      </c>
      <c r="J55" s="1"/>
      <c r="K55" s="1" t="s">
        <v>1193</v>
      </c>
      <c r="L55" s="1" t="s">
        <v>1149</v>
      </c>
      <c r="M55" s="1"/>
      <c r="N55" s="1" t="s">
        <v>1194</v>
      </c>
    </row>
    <row x14ac:dyDescent="0.25" r="56" customHeight="1" ht="18.75">
      <c r="A56" s="1" t="s">
        <v>1192</v>
      </c>
      <c r="B56" s="1" t="s">
        <v>1114</v>
      </c>
      <c r="C56" s="1" t="s">
        <v>46</v>
      </c>
      <c r="D56" s="1" t="s">
        <v>1130</v>
      </c>
      <c r="E56" s="37" t="s">
        <v>468</v>
      </c>
      <c r="F56" s="56" t="s">
        <v>1100</v>
      </c>
      <c r="G56" s="37" t="s">
        <v>1107</v>
      </c>
      <c r="H56" s="7">
        <f>_xlfn.XLOOKUP(E56,commit_num_files!A$2:A$319,commit_num_files!B$2:B$319)</f>
      </c>
      <c r="I56" s="15">
        <f>_xlfn.XLOOKUP(C56,cve_title!A$2:A$164,cve_title!B$2:B$164)</f>
      </c>
      <c r="J56" s="1"/>
      <c r="K56" s="1" t="s">
        <v>1193</v>
      </c>
      <c r="L56" s="1" t="s">
        <v>1149</v>
      </c>
      <c r="M56" s="1"/>
      <c r="N56" s="1" t="s">
        <v>893</v>
      </c>
    </row>
    <row x14ac:dyDescent="0.25" r="57" customHeight="1" ht="18.75">
      <c r="A57" s="1" t="s">
        <v>1192</v>
      </c>
      <c r="B57" s="1" t="s">
        <v>1114</v>
      </c>
      <c r="C57" s="1" t="s">
        <v>46</v>
      </c>
      <c r="D57" s="1" t="s">
        <v>1130</v>
      </c>
      <c r="E57" s="37" t="s">
        <v>468</v>
      </c>
      <c r="F57" s="56" t="s">
        <v>1102</v>
      </c>
      <c r="G57" s="37" t="s">
        <v>1107</v>
      </c>
      <c r="H57" s="7">
        <f>_xlfn.XLOOKUP(E57,commit_num_files!A$2:A$319,commit_num_files!B$2:B$319)</f>
      </c>
      <c r="I57" s="27">
        <f>_xlfn.XLOOKUP(C57,cve_title!A$2:A$164,cve_title!B$2:B$164)</f>
      </c>
      <c r="J57" s="1"/>
      <c r="K57" s="1" t="s">
        <v>1193</v>
      </c>
      <c r="L57" s="1" t="s">
        <v>1149</v>
      </c>
      <c r="M57" s="1"/>
      <c r="N57" s="1" t="s">
        <v>894</v>
      </c>
    </row>
    <row x14ac:dyDescent="0.25" r="58" customHeight="1" ht="18.75">
      <c r="A58" s="22" t="s">
        <v>1195</v>
      </c>
      <c r="B58" s="22" t="s">
        <v>1114</v>
      </c>
      <c r="C58" s="22" t="s">
        <v>48</v>
      </c>
      <c r="D58" s="22" t="s">
        <v>1147</v>
      </c>
      <c r="E58" s="24" t="s">
        <v>474</v>
      </c>
      <c r="F58" s="22" t="s">
        <v>1102</v>
      </c>
      <c r="G58" s="24" t="s">
        <v>1106</v>
      </c>
      <c r="H58" s="41">
        <f>_xlfn.XLOOKUP(E58,commit_num_files!A$2:A$319,commit_num_files!B$2:B$319)</f>
      </c>
      <c r="I58" s="15">
        <f>_xlfn.XLOOKUP(C58,cve_title!A$2:A$164,cve_title!B$2:B$164)</f>
      </c>
      <c r="J58" s="22"/>
      <c r="K58" s="22" t="s">
        <v>1196</v>
      </c>
      <c r="L58" s="22" t="s">
        <v>1149</v>
      </c>
      <c r="M58" s="22"/>
      <c r="N58" s="22" t="s">
        <v>665</v>
      </c>
    </row>
    <row x14ac:dyDescent="0.25" r="59" customHeight="1" ht="18.75">
      <c r="A59" s="1" t="s">
        <v>1195</v>
      </c>
      <c r="B59" s="1" t="s">
        <v>1114</v>
      </c>
      <c r="C59" s="1" t="s">
        <v>48</v>
      </c>
      <c r="D59" s="1" t="s">
        <v>1147</v>
      </c>
      <c r="E59" s="37" t="s">
        <v>474</v>
      </c>
      <c r="F59" s="56" t="s">
        <v>1102</v>
      </c>
      <c r="G59" s="37" t="s">
        <v>1107</v>
      </c>
      <c r="H59" s="7">
        <f>_xlfn.XLOOKUP(E59,commit_num_files!A$2:A$319,commit_num_files!B$2:B$319)</f>
      </c>
      <c r="I59" s="15">
        <f>_xlfn.XLOOKUP(C59,cve_title!A$2:A$164,cve_title!B$2:B$164)</f>
      </c>
      <c r="J59" s="1"/>
      <c r="K59" s="1" t="s">
        <v>1196</v>
      </c>
      <c r="L59" s="1" t="s">
        <v>1149</v>
      </c>
      <c r="M59" s="1"/>
      <c r="N59" s="1" t="s">
        <v>681</v>
      </c>
    </row>
    <row x14ac:dyDescent="0.25" r="60" customHeight="1" ht="18.75">
      <c r="A60" s="1" t="s">
        <v>1195</v>
      </c>
      <c r="B60" s="1" t="s">
        <v>1114</v>
      </c>
      <c r="C60" s="1" t="s">
        <v>48</v>
      </c>
      <c r="D60" s="1" t="s">
        <v>1147</v>
      </c>
      <c r="E60" s="37" t="s">
        <v>474</v>
      </c>
      <c r="F60" s="56" t="s">
        <v>1102</v>
      </c>
      <c r="G60" s="37" t="s">
        <v>1107</v>
      </c>
      <c r="H60" s="7">
        <f>_xlfn.XLOOKUP(E60,commit_num_files!A$2:A$319,commit_num_files!B$2:B$319)</f>
      </c>
      <c r="I60" s="15">
        <f>_xlfn.XLOOKUP(C60,cve_title!A$2:A$164,cve_title!B$2:B$164)</f>
      </c>
      <c r="J60" s="1"/>
      <c r="K60" s="1" t="s">
        <v>1196</v>
      </c>
      <c r="L60" s="1" t="s">
        <v>1149</v>
      </c>
      <c r="M60" s="1"/>
      <c r="N60" s="1" t="s">
        <v>749</v>
      </c>
    </row>
    <row x14ac:dyDescent="0.25" r="61" customHeight="1" ht="18.75">
      <c r="A61" s="1" t="s">
        <v>1195</v>
      </c>
      <c r="B61" s="1" t="s">
        <v>1114</v>
      </c>
      <c r="C61" s="1" t="s">
        <v>48</v>
      </c>
      <c r="D61" s="1" t="s">
        <v>1147</v>
      </c>
      <c r="E61" s="37" t="s">
        <v>474</v>
      </c>
      <c r="F61" s="56" t="s">
        <v>1102</v>
      </c>
      <c r="G61" s="37" t="s">
        <v>1107</v>
      </c>
      <c r="H61" s="7">
        <f>_xlfn.XLOOKUP(E61,commit_num_files!A$2:A$319,commit_num_files!B$2:B$319)</f>
      </c>
      <c r="I61" s="15">
        <f>_xlfn.XLOOKUP(C61,cve_title!A$2:A$164,cve_title!B$2:B$164)</f>
      </c>
      <c r="J61" s="1"/>
      <c r="K61" s="1" t="s">
        <v>1196</v>
      </c>
      <c r="L61" s="1" t="s">
        <v>1149</v>
      </c>
      <c r="M61" s="1"/>
      <c r="N61" s="1" t="s">
        <v>661</v>
      </c>
    </row>
    <row x14ac:dyDescent="0.25" r="62" customHeight="1" ht="18.75">
      <c r="A62" s="1" t="s">
        <v>1195</v>
      </c>
      <c r="B62" s="1" t="s">
        <v>1114</v>
      </c>
      <c r="C62" s="1" t="s">
        <v>48</v>
      </c>
      <c r="D62" s="1" t="s">
        <v>1147</v>
      </c>
      <c r="E62" s="37" t="s">
        <v>474</v>
      </c>
      <c r="F62" s="56" t="s">
        <v>1102</v>
      </c>
      <c r="G62" s="37" t="s">
        <v>1107</v>
      </c>
      <c r="H62" s="7">
        <f>_xlfn.XLOOKUP(E62,commit_num_files!A$2:A$319,commit_num_files!B$2:B$319)</f>
      </c>
      <c r="I62" s="15">
        <f>_xlfn.XLOOKUP(C62,cve_title!A$2:A$164,cve_title!B$2:B$164)</f>
      </c>
      <c r="J62" s="1"/>
      <c r="K62" s="1" t="s">
        <v>1196</v>
      </c>
      <c r="L62" s="1" t="s">
        <v>1149</v>
      </c>
      <c r="M62" s="1"/>
      <c r="N62" s="1" t="s">
        <v>805</v>
      </c>
    </row>
    <row x14ac:dyDescent="0.25" r="63" customHeight="1" ht="18.75">
      <c r="A63" s="44" t="s">
        <v>1195</v>
      </c>
      <c r="B63" s="44" t="s">
        <v>1114</v>
      </c>
      <c r="C63" s="44" t="s">
        <v>48</v>
      </c>
      <c r="D63" s="44" t="s">
        <v>1147</v>
      </c>
      <c r="E63" s="46" t="s">
        <v>474</v>
      </c>
      <c r="F63" s="58" t="s">
        <v>1102</v>
      </c>
      <c r="G63" s="46" t="s">
        <v>1107</v>
      </c>
      <c r="H63" s="49">
        <f>_xlfn.XLOOKUP(E63,commit_num_files!A$2:A$319,commit_num_files!B$2:B$319)</f>
      </c>
      <c r="I63" s="27">
        <f>_xlfn.XLOOKUP(C63,cve_title!A$2:A$164,cve_title!B$2:B$164)</f>
      </c>
      <c r="J63" s="44"/>
      <c r="K63" s="44" t="s">
        <v>1196</v>
      </c>
      <c r="L63" s="44" t="s">
        <v>1149</v>
      </c>
      <c r="M63" s="44"/>
      <c r="N63" s="44" t="s">
        <v>806</v>
      </c>
    </row>
    <row x14ac:dyDescent="0.25" r="64" customHeight="1" ht="18.75">
      <c r="A64" s="1" t="s">
        <v>1197</v>
      </c>
      <c r="B64" s="1" t="s">
        <v>1114</v>
      </c>
      <c r="C64" s="1" t="s">
        <v>50</v>
      </c>
      <c r="D64" s="1" t="s">
        <v>1144</v>
      </c>
      <c r="E64" s="37" t="s">
        <v>492</v>
      </c>
      <c r="F64" s="56" t="s">
        <v>1100</v>
      </c>
      <c r="G64" s="37" t="s">
        <v>1106</v>
      </c>
      <c r="H64" s="41">
        <f>_xlfn.XLOOKUP(E64,commit_num_files!A$2:A$319,commit_num_files!B$2:B$319)</f>
      </c>
      <c r="I64" s="15">
        <f>_xlfn.XLOOKUP(C64,cve_title!A$2:A$164,cve_title!B$2:B$164)</f>
      </c>
      <c r="J64" s="1"/>
      <c r="K64" s="1" t="s">
        <v>1198</v>
      </c>
      <c r="L64" s="1"/>
      <c r="M64" s="1" t="s">
        <v>1199</v>
      </c>
      <c r="N64" s="1" t="s">
        <v>788</v>
      </c>
    </row>
    <row x14ac:dyDescent="0.25" r="65" customHeight="1" ht="18.75">
      <c r="A65" s="1" t="s">
        <v>1197</v>
      </c>
      <c r="B65" s="1" t="s">
        <v>1114</v>
      </c>
      <c r="C65" s="1" t="s">
        <v>50</v>
      </c>
      <c r="D65" s="1" t="s">
        <v>1144</v>
      </c>
      <c r="E65" s="37" t="s">
        <v>492</v>
      </c>
      <c r="F65" s="56" t="s">
        <v>1102</v>
      </c>
      <c r="G65" s="37" t="s">
        <v>1107</v>
      </c>
      <c r="H65" s="7">
        <f>_xlfn.XLOOKUP(E65,commit_num_files!A$2:A$319,commit_num_files!B$2:B$319)</f>
      </c>
      <c r="I65" s="15">
        <f>_xlfn.XLOOKUP(C65,cve_title!A$2:A$164,cve_title!B$2:B$164)</f>
      </c>
      <c r="J65" s="1"/>
      <c r="K65" s="1" t="s">
        <v>1198</v>
      </c>
      <c r="L65" s="1"/>
      <c r="M65" s="1"/>
      <c r="N65" s="1" t="s">
        <v>906</v>
      </c>
    </row>
    <row x14ac:dyDescent="0.25" r="66" customHeight="1" ht="18.75">
      <c r="A66" s="1" t="s">
        <v>1197</v>
      </c>
      <c r="B66" s="1" t="s">
        <v>1114</v>
      </c>
      <c r="C66" s="1" t="s">
        <v>50</v>
      </c>
      <c r="D66" s="1" t="s">
        <v>1144</v>
      </c>
      <c r="E66" s="37" t="s">
        <v>492</v>
      </c>
      <c r="F66" s="56" t="s">
        <v>1102</v>
      </c>
      <c r="G66" s="37" t="s">
        <v>1107</v>
      </c>
      <c r="H66" s="7">
        <f>_xlfn.XLOOKUP(E66,commit_num_files!A$2:A$319,commit_num_files!B$2:B$319)</f>
      </c>
      <c r="I66" s="15">
        <f>_xlfn.XLOOKUP(C66,cve_title!A$2:A$164,cve_title!B$2:B$164)</f>
      </c>
      <c r="J66" s="1"/>
      <c r="K66" s="1" t="s">
        <v>1198</v>
      </c>
      <c r="L66" s="1"/>
      <c r="M66" s="1"/>
      <c r="N66" s="1" t="s">
        <v>862</v>
      </c>
    </row>
    <row x14ac:dyDescent="0.25" r="67" customHeight="1" ht="18.75">
      <c r="A67" s="1" t="s">
        <v>1197</v>
      </c>
      <c r="B67" s="1" t="s">
        <v>1114</v>
      </c>
      <c r="C67" s="1" t="s">
        <v>50</v>
      </c>
      <c r="D67" s="1" t="s">
        <v>1144</v>
      </c>
      <c r="E67" s="37" t="s">
        <v>492</v>
      </c>
      <c r="F67" s="56" t="s">
        <v>1102</v>
      </c>
      <c r="G67" s="37" t="s">
        <v>1107</v>
      </c>
      <c r="H67" s="7">
        <f>_xlfn.XLOOKUP(E67,commit_num_files!A$2:A$319,commit_num_files!B$2:B$319)</f>
      </c>
      <c r="I67" s="15">
        <f>_xlfn.XLOOKUP(C67,cve_title!A$2:A$164,cve_title!B$2:B$164)</f>
      </c>
      <c r="J67" s="1"/>
      <c r="K67" s="1" t="s">
        <v>1198</v>
      </c>
      <c r="L67" s="1"/>
      <c r="M67" s="1"/>
      <c r="N67" s="1" t="s">
        <v>907</v>
      </c>
    </row>
    <row x14ac:dyDescent="0.25" r="68" customHeight="1" ht="18.75">
      <c r="A68" s="1" t="s">
        <v>1197</v>
      </c>
      <c r="B68" s="1" t="s">
        <v>1114</v>
      </c>
      <c r="C68" s="1" t="s">
        <v>50</v>
      </c>
      <c r="D68" s="1" t="s">
        <v>1144</v>
      </c>
      <c r="E68" s="37" t="s">
        <v>492</v>
      </c>
      <c r="F68" s="56" t="s">
        <v>1102</v>
      </c>
      <c r="G68" s="37" t="s">
        <v>1107</v>
      </c>
      <c r="H68" s="7">
        <f>_xlfn.XLOOKUP(E68,commit_num_files!A$2:A$319,commit_num_files!B$2:B$319)</f>
      </c>
      <c r="I68" s="15">
        <f>_xlfn.XLOOKUP(C68,cve_title!A$2:A$164,cve_title!B$2:B$164)</f>
      </c>
      <c r="J68" s="1"/>
      <c r="K68" s="1" t="s">
        <v>1198</v>
      </c>
      <c r="L68" s="1"/>
      <c r="M68" s="1"/>
      <c r="N68" s="1" t="s">
        <v>908</v>
      </c>
    </row>
    <row x14ac:dyDescent="0.25" r="69" customHeight="1" ht="18.75">
      <c r="A69" s="1" t="s">
        <v>1197</v>
      </c>
      <c r="B69" s="1" t="s">
        <v>1114</v>
      </c>
      <c r="C69" s="1" t="s">
        <v>50</v>
      </c>
      <c r="D69" s="1" t="s">
        <v>1144</v>
      </c>
      <c r="E69" s="37" t="s">
        <v>492</v>
      </c>
      <c r="F69" s="56" t="s">
        <v>1102</v>
      </c>
      <c r="G69" s="37" t="s">
        <v>1106</v>
      </c>
      <c r="H69" s="7">
        <f>_xlfn.XLOOKUP(E69,commit_num_files!A$2:A$319,commit_num_files!B$2:B$319)</f>
      </c>
      <c r="I69" s="15">
        <f>_xlfn.XLOOKUP(C69,cve_title!A$2:A$164,cve_title!B$2:B$164)</f>
      </c>
      <c r="J69" s="1"/>
      <c r="K69" s="28" t="s">
        <v>1198</v>
      </c>
      <c r="L69" s="1"/>
      <c r="M69" s="1"/>
      <c r="N69" s="1"/>
    </row>
    <row x14ac:dyDescent="0.25" r="70" customHeight="1" ht="18.75">
      <c r="A70" s="29" t="s">
        <v>1200</v>
      </c>
      <c r="B70" s="29" t="s">
        <v>1114</v>
      </c>
      <c r="C70" s="30" t="s">
        <v>52</v>
      </c>
      <c r="D70" s="29" t="s">
        <v>1130</v>
      </c>
      <c r="E70" s="31" t="s">
        <v>340</v>
      </c>
      <c r="F70" s="32" t="s">
        <v>1100</v>
      </c>
      <c r="G70" s="33" t="s">
        <v>1107</v>
      </c>
      <c r="H70" s="41">
        <f>_xlfn.XLOOKUP(E70,commit_num_files!A$2:A$319,commit_num_files!B$2:B$319)</f>
      </c>
      <c r="I70" s="38">
        <f>_xlfn.XLOOKUP(C70,cve_title!A$2:A$164,cve_title!B$2:B$164)</f>
      </c>
      <c r="J70" s="29"/>
      <c r="K70" s="35" t="s">
        <v>1201</v>
      </c>
      <c r="L70" s="29" t="s">
        <v>1133</v>
      </c>
      <c r="M70" s="80" t="s">
        <v>1202</v>
      </c>
      <c r="N70" s="29" t="s">
        <v>823</v>
      </c>
    </row>
    <row x14ac:dyDescent="0.25" r="71" customHeight="1" ht="18.75">
      <c r="A71" s="1" t="s">
        <v>1203</v>
      </c>
      <c r="B71" s="1" t="s">
        <v>1114</v>
      </c>
      <c r="C71" s="36" t="s">
        <v>54</v>
      </c>
      <c r="D71" s="1" t="s">
        <v>1144</v>
      </c>
      <c r="E71" s="37" t="s">
        <v>397</v>
      </c>
      <c r="F71" s="61" t="s">
        <v>1100</v>
      </c>
      <c r="G71" s="79" t="s">
        <v>1107</v>
      </c>
      <c r="H71" s="41">
        <f>_xlfn.XLOOKUP(E71,commit_num_files!A$2:A$319,commit_num_files!B$2:B$319)</f>
      </c>
      <c r="I71" s="27">
        <f>_xlfn.XLOOKUP(C71,cve_title!A$2:A$164,cve_title!B$2:B$164)</f>
      </c>
      <c r="J71" s="1"/>
      <c r="K71" s="28" t="s">
        <v>1204</v>
      </c>
      <c r="L71" s="1" t="s">
        <v>1133</v>
      </c>
      <c r="M71" s="1" t="s">
        <v>1205</v>
      </c>
      <c r="N71" s="1" t="s">
        <v>769</v>
      </c>
    </row>
    <row x14ac:dyDescent="0.25" r="72" customHeight="1" ht="18.75">
      <c r="A72" s="29" t="s">
        <v>1206</v>
      </c>
      <c r="B72" s="29" t="s">
        <v>1114</v>
      </c>
      <c r="C72" s="30" t="s">
        <v>56</v>
      </c>
      <c r="D72" s="29" t="s">
        <v>1130</v>
      </c>
      <c r="E72" s="31" t="s">
        <v>405</v>
      </c>
      <c r="F72" s="32" t="s">
        <v>1100</v>
      </c>
      <c r="G72" s="33" t="s">
        <v>1106</v>
      </c>
      <c r="H72" s="41">
        <f>_xlfn.XLOOKUP(E72,commit_num_files!A$2:A$319,commit_num_files!B$2:B$319)</f>
      </c>
      <c r="I72" s="15">
        <f>_xlfn.XLOOKUP(C72,cve_title!A$2:A$164,cve_title!B$2:B$164)</f>
      </c>
      <c r="J72" s="29"/>
      <c r="K72" s="35" t="s">
        <v>1207</v>
      </c>
      <c r="L72" s="29" t="s">
        <v>1133</v>
      </c>
      <c r="M72" s="29"/>
      <c r="N72" s="29" t="s">
        <v>757</v>
      </c>
    </row>
    <row x14ac:dyDescent="0.25" r="73" customHeight="1" ht="18.75">
      <c r="A73" s="1" t="s">
        <v>1208</v>
      </c>
      <c r="B73" s="1" t="s">
        <v>1114</v>
      </c>
      <c r="C73" s="36" t="s">
        <v>58</v>
      </c>
      <c r="D73" s="1" t="s">
        <v>1144</v>
      </c>
      <c r="E73" s="37" t="s">
        <v>383</v>
      </c>
      <c r="F73" s="25" t="s">
        <v>1102</v>
      </c>
      <c r="G73" s="26" t="s">
        <v>1106</v>
      </c>
      <c r="H73" s="41">
        <f>_xlfn.XLOOKUP(E73,commit_num_files!A$2:A$319,commit_num_files!B$2:B$319)</f>
      </c>
      <c r="I73" s="38">
        <f>_xlfn.XLOOKUP(C73,cve_title!A$2:A$164,cve_title!B$2:B$164)</f>
      </c>
      <c r="J73" s="1"/>
      <c r="K73" s="28" t="s">
        <v>1209</v>
      </c>
      <c r="L73" s="1" t="s">
        <v>1133</v>
      </c>
      <c r="M73" s="63" t="s">
        <v>1210</v>
      </c>
      <c r="N73" s="1" t="s">
        <v>713</v>
      </c>
    </row>
    <row x14ac:dyDescent="0.25" r="74" customHeight="1" ht="18.75">
      <c r="A74" s="29" t="s">
        <v>1211</v>
      </c>
      <c r="B74" s="29" t="s">
        <v>1114</v>
      </c>
      <c r="C74" s="29" t="s">
        <v>60</v>
      </c>
      <c r="D74" s="29" t="s">
        <v>1130</v>
      </c>
      <c r="E74" s="31" t="s">
        <v>460</v>
      </c>
      <c r="F74" s="29" t="s">
        <v>1102</v>
      </c>
      <c r="G74" s="31" t="s">
        <v>1106</v>
      </c>
      <c r="H74" s="41">
        <f>_xlfn.XLOOKUP(E74,commit_num_files!A$2:A$319,commit_num_files!B$2:B$319)</f>
      </c>
      <c r="I74" s="42">
        <f>_xlfn.XLOOKUP(C74,cve_title!A$2:A$164,cve_title!B$2:B$164)</f>
      </c>
      <c r="J74" s="29"/>
      <c r="K74" s="35" t="s">
        <v>1212</v>
      </c>
      <c r="L74" s="29" t="s">
        <v>1149</v>
      </c>
      <c r="M74" s="29"/>
      <c r="N74" s="29" t="s">
        <v>1213</v>
      </c>
    </row>
    <row x14ac:dyDescent="0.25" r="75" customHeight="1" ht="18.75">
      <c r="A75" s="1" t="s">
        <v>1214</v>
      </c>
      <c r="B75" s="1" t="s">
        <v>1114</v>
      </c>
      <c r="C75" s="36" t="s">
        <v>62</v>
      </c>
      <c r="D75" s="1" t="s">
        <v>1130</v>
      </c>
      <c r="E75" s="37" t="s">
        <v>322</v>
      </c>
      <c r="F75" s="61" t="s">
        <v>1102</v>
      </c>
      <c r="G75" s="79" t="s">
        <v>1107</v>
      </c>
      <c r="H75" s="41">
        <f>_xlfn.XLOOKUP(E75,commit_num_files!A$2:A$319,commit_num_files!B$2:B$319)</f>
      </c>
      <c r="I75" s="38">
        <f>_xlfn.XLOOKUP(C75,cve_title!A$2:A$164,cve_title!B$2:B$164)</f>
      </c>
      <c r="J75" s="1"/>
      <c r="K75" s="28" t="s">
        <v>1215</v>
      </c>
      <c r="L75" s="1" t="s">
        <v>1133</v>
      </c>
      <c r="M75" s="63" t="s">
        <v>1216</v>
      </c>
      <c r="N75" s="1" t="s">
        <v>651</v>
      </c>
    </row>
    <row x14ac:dyDescent="0.25" r="76" customHeight="1" ht="18.75">
      <c r="A76" s="22" t="s">
        <v>1217</v>
      </c>
      <c r="B76" s="22" t="s">
        <v>1114</v>
      </c>
      <c r="C76" s="22" t="s">
        <v>64</v>
      </c>
      <c r="D76" s="22" t="s">
        <v>1144</v>
      </c>
      <c r="E76" s="24" t="s">
        <v>477</v>
      </c>
      <c r="F76" s="22" t="s">
        <v>1097</v>
      </c>
      <c r="G76" s="24" t="s">
        <v>1107</v>
      </c>
      <c r="H76" s="41">
        <f>_xlfn.XLOOKUP(E76,commit_num_files!A$2:A$319,commit_num_files!B$2:B$319)</f>
      </c>
      <c r="I76" s="15">
        <f>_xlfn.XLOOKUP(C76,cve_title!A$2:A$164,cve_title!B$2:B$164)</f>
      </c>
      <c r="J76" s="22"/>
      <c r="K76" s="22" t="s">
        <v>1218</v>
      </c>
      <c r="L76" s="22" t="s">
        <v>1149</v>
      </c>
      <c r="M76" s="22" t="s">
        <v>1219</v>
      </c>
      <c r="N76" s="22" t="s">
        <v>875</v>
      </c>
    </row>
    <row x14ac:dyDescent="0.25" r="77" customHeight="1" ht="18.75">
      <c r="A77" s="1" t="s">
        <v>1217</v>
      </c>
      <c r="B77" s="1" t="s">
        <v>1114</v>
      </c>
      <c r="C77" s="1" t="s">
        <v>64</v>
      </c>
      <c r="D77" s="1" t="s">
        <v>1144</v>
      </c>
      <c r="E77" s="37" t="s">
        <v>477</v>
      </c>
      <c r="F77" s="1" t="s">
        <v>1097</v>
      </c>
      <c r="G77" s="37" t="s">
        <v>1107</v>
      </c>
      <c r="H77" s="7">
        <f>_xlfn.XLOOKUP(E77,commit_num_files!A$2:A$319,commit_num_files!B$2:B$319)</f>
      </c>
      <c r="I77" s="15">
        <f>_xlfn.XLOOKUP(C77,cve_title!A$2:A$164,cve_title!B$2:B$164)</f>
      </c>
      <c r="J77" s="1"/>
      <c r="K77" s="1" t="s">
        <v>1218</v>
      </c>
      <c r="L77" s="1" t="s">
        <v>1149</v>
      </c>
      <c r="M77" s="1" t="s">
        <v>1219</v>
      </c>
      <c r="N77" s="1" t="s">
        <v>874</v>
      </c>
    </row>
    <row x14ac:dyDescent="0.25" r="78" customHeight="1" ht="18.75">
      <c r="A78" s="1" t="s">
        <v>1217</v>
      </c>
      <c r="B78" s="1" t="s">
        <v>1114</v>
      </c>
      <c r="C78" s="1" t="s">
        <v>64</v>
      </c>
      <c r="D78" s="1" t="s">
        <v>1144</v>
      </c>
      <c r="E78" s="37" t="s">
        <v>477</v>
      </c>
      <c r="F78" s="1" t="s">
        <v>1097</v>
      </c>
      <c r="G78" s="37" t="s">
        <v>1107</v>
      </c>
      <c r="H78" s="7">
        <f>_xlfn.XLOOKUP(E78,commit_num_files!A$2:A$319,commit_num_files!B$2:B$319)</f>
      </c>
      <c r="I78" s="15">
        <f>_xlfn.XLOOKUP(C78,cve_title!A$2:A$164,cve_title!B$2:B$164)</f>
      </c>
      <c r="J78" s="1"/>
      <c r="K78" s="1" t="s">
        <v>1218</v>
      </c>
      <c r="L78" s="1" t="s">
        <v>1149</v>
      </c>
      <c r="M78" s="1" t="s">
        <v>1219</v>
      </c>
      <c r="N78" s="1" t="s">
        <v>876</v>
      </c>
    </row>
    <row x14ac:dyDescent="0.25" r="79" customHeight="1" ht="18.75">
      <c r="A79" s="1" t="s">
        <v>1217</v>
      </c>
      <c r="B79" s="1" t="s">
        <v>1114</v>
      </c>
      <c r="C79" s="1" t="s">
        <v>64</v>
      </c>
      <c r="D79" s="1" t="s">
        <v>1144</v>
      </c>
      <c r="E79" s="37" t="s">
        <v>477</v>
      </c>
      <c r="F79" s="1" t="s">
        <v>1097</v>
      </c>
      <c r="G79" s="37" t="s">
        <v>1107</v>
      </c>
      <c r="H79" s="7">
        <f>_xlfn.XLOOKUP(E79,commit_num_files!A$2:A$319,commit_num_files!B$2:B$319)</f>
      </c>
      <c r="I79" s="15">
        <f>_xlfn.XLOOKUP(C79,cve_title!A$2:A$164,cve_title!B$2:B$164)</f>
      </c>
      <c r="J79" s="1"/>
      <c r="K79" s="1" t="s">
        <v>1218</v>
      </c>
      <c r="L79" s="1" t="s">
        <v>1149</v>
      </c>
      <c r="M79" s="1" t="s">
        <v>1219</v>
      </c>
      <c r="N79" s="1" t="s">
        <v>877</v>
      </c>
    </row>
    <row x14ac:dyDescent="0.25" r="80" customHeight="1" ht="18.75">
      <c r="A80" s="1" t="s">
        <v>1217</v>
      </c>
      <c r="B80" s="1" t="s">
        <v>1114</v>
      </c>
      <c r="C80" s="1" t="s">
        <v>64</v>
      </c>
      <c r="D80" s="1" t="s">
        <v>1144</v>
      </c>
      <c r="E80" s="37" t="s">
        <v>477</v>
      </c>
      <c r="F80" s="1" t="s">
        <v>1097</v>
      </c>
      <c r="G80" s="37" t="s">
        <v>1107</v>
      </c>
      <c r="H80" s="7">
        <f>_xlfn.XLOOKUP(E80,commit_num_files!A$2:A$319,commit_num_files!B$2:B$319)</f>
      </c>
      <c r="I80" s="15">
        <f>_xlfn.XLOOKUP(C80,cve_title!A$2:A$164,cve_title!B$2:B$164)</f>
      </c>
      <c r="J80" s="1"/>
      <c r="K80" s="1" t="s">
        <v>1218</v>
      </c>
      <c r="L80" s="1" t="s">
        <v>1149</v>
      </c>
      <c r="M80" s="1" t="s">
        <v>1219</v>
      </c>
      <c r="N80" s="1" t="s">
        <v>878</v>
      </c>
    </row>
    <row x14ac:dyDescent="0.25" r="81" customHeight="1" ht="18.75">
      <c r="A81" s="44" t="s">
        <v>1217</v>
      </c>
      <c r="B81" s="44" t="s">
        <v>1114</v>
      </c>
      <c r="C81" s="44" t="s">
        <v>64</v>
      </c>
      <c r="D81" s="44" t="s">
        <v>1144</v>
      </c>
      <c r="E81" s="46" t="s">
        <v>477</v>
      </c>
      <c r="F81" s="44" t="s">
        <v>1097</v>
      </c>
      <c r="G81" s="46" t="s">
        <v>1107</v>
      </c>
      <c r="H81" s="7">
        <f>_xlfn.XLOOKUP(E81,commit_num_files!A$2:A$319,commit_num_files!B$2:B$319)</f>
      </c>
      <c r="I81" s="27">
        <f>_xlfn.XLOOKUP(C81,cve_title!A$2:A$164,cve_title!B$2:B$164)</f>
      </c>
      <c r="J81" s="44"/>
      <c r="K81" s="44" t="s">
        <v>1218</v>
      </c>
      <c r="L81" s="44" t="s">
        <v>1149</v>
      </c>
      <c r="M81" s="44" t="s">
        <v>1219</v>
      </c>
      <c r="N81" s="44" t="s">
        <v>879</v>
      </c>
    </row>
    <row x14ac:dyDescent="0.25" r="82" customHeight="1" ht="18.75">
      <c r="A82" s="1" t="s">
        <v>1220</v>
      </c>
      <c r="B82" s="1" t="s">
        <v>1114</v>
      </c>
      <c r="C82" s="36" t="s">
        <v>66</v>
      </c>
      <c r="D82" s="1" t="s">
        <v>1147</v>
      </c>
      <c r="E82" s="37" t="s">
        <v>360</v>
      </c>
      <c r="F82" s="61" t="s">
        <v>1100</v>
      </c>
      <c r="G82" s="79" t="s">
        <v>1106</v>
      </c>
      <c r="H82" s="41">
        <f>_xlfn.XLOOKUP(E82,commit_num_files!A$2:A$319,commit_num_files!B$2:B$319)</f>
      </c>
      <c r="I82" s="15">
        <f>_xlfn.XLOOKUP(C82,cve_title!A$2:A$164,cve_title!B$2:B$164)</f>
      </c>
      <c r="J82" s="1"/>
      <c r="K82" s="28" t="s">
        <v>1221</v>
      </c>
      <c r="L82" s="1" t="s">
        <v>1133</v>
      </c>
      <c r="M82" s="1" t="s">
        <v>1222</v>
      </c>
      <c r="N82" s="1" t="s">
        <v>863</v>
      </c>
    </row>
    <row x14ac:dyDescent="0.25" r="83" customHeight="1" ht="18.75">
      <c r="A83" s="29" t="s">
        <v>1223</v>
      </c>
      <c r="B83" s="29" t="s">
        <v>1114</v>
      </c>
      <c r="C83" s="30" t="s">
        <v>68</v>
      </c>
      <c r="D83" s="29" t="s">
        <v>1144</v>
      </c>
      <c r="E83" s="31" t="s">
        <v>387</v>
      </c>
      <c r="F83" s="32" t="s">
        <v>1100</v>
      </c>
      <c r="G83" s="33" t="s">
        <v>1106</v>
      </c>
      <c r="H83" s="41">
        <f>_xlfn.XLOOKUP(E83,commit_num_files!A$2:A$319,commit_num_files!B$2:B$319)</f>
      </c>
      <c r="I83" s="38">
        <f>_xlfn.XLOOKUP(C83,cve_title!A$2:A$164,cve_title!B$2:B$164)</f>
      </c>
      <c r="J83" s="29"/>
      <c r="K83" s="35" t="s">
        <v>1224</v>
      </c>
      <c r="L83" s="29" t="s">
        <v>1133</v>
      </c>
      <c r="M83" s="29"/>
      <c r="N83" s="29" t="s">
        <v>788</v>
      </c>
    </row>
    <row x14ac:dyDescent="0.25" r="84" customHeight="1" ht="18.75">
      <c r="A84" s="1" t="s">
        <v>1225</v>
      </c>
      <c r="B84" s="1" t="s">
        <v>1114</v>
      </c>
      <c r="C84" s="36" t="s">
        <v>70</v>
      </c>
      <c r="D84" s="1" t="s">
        <v>1226</v>
      </c>
      <c r="E84" s="37" t="s">
        <v>371</v>
      </c>
      <c r="F84" s="61" t="s">
        <v>1102</v>
      </c>
      <c r="G84" s="79" t="s">
        <v>1108</v>
      </c>
      <c r="H84" s="41">
        <f>_xlfn.XLOOKUP(E84,commit_num_files!A$2:A$319,commit_num_files!B$2:B$319)</f>
      </c>
      <c r="I84" s="38">
        <f>_xlfn.XLOOKUP(C84,cve_title!A$2:A$164,cve_title!B$2:B$164)</f>
      </c>
      <c r="J84" s="1"/>
      <c r="K84" s="28" t="s">
        <v>1227</v>
      </c>
      <c r="L84" s="1" t="s">
        <v>1133</v>
      </c>
      <c r="M84" s="1"/>
      <c r="N84" s="1" t="s">
        <v>686</v>
      </c>
    </row>
    <row x14ac:dyDescent="0.25" r="85" customHeight="1" ht="18.75">
      <c r="A85" s="29" t="s">
        <v>1228</v>
      </c>
      <c r="B85" s="29" t="s">
        <v>1114</v>
      </c>
      <c r="C85" s="30" t="s">
        <v>72</v>
      </c>
      <c r="D85" s="29" t="s">
        <v>1147</v>
      </c>
      <c r="E85" s="31" t="s">
        <v>364</v>
      </c>
      <c r="F85" s="32" t="s">
        <v>1102</v>
      </c>
      <c r="G85" s="33" t="s">
        <v>1107</v>
      </c>
      <c r="H85" s="41">
        <f>_xlfn.XLOOKUP(E85,commit_num_files!A$2:A$319,commit_num_files!B$2:B$319)</f>
      </c>
      <c r="I85" s="15">
        <f>_xlfn.XLOOKUP(C85,cve_title!A$2:A$164,cve_title!B$2:B$164)</f>
      </c>
      <c r="J85" s="29"/>
      <c r="K85" s="35" t="s">
        <v>1229</v>
      </c>
      <c r="L85" s="29" t="s">
        <v>1133</v>
      </c>
      <c r="M85" s="29"/>
      <c r="N85" s="29" t="s">
        <v>868</v>
      </c>
    </row>
    <row x14ac:dyDescent="0.25" r="86" customHeight="1" ht="18.75">
      <c r="A86" s="1" t="s">
        <v>1230</v>
      </c>
      <c r="B86" s="1" t="s">
        <v>1114</v>
      </c>
      <c r="C86" s="36" t="s">
        <v>74</v>
      </c>
      <c r="D86" s="1" t="s">
        <v>1144</v>
      </c>
      <c r="E86" s="37" t="s">
        <v>377</v>
      </c>
      <c r="F86" s="25" t="s">
        <v>1097</v>
      </c>
      <c r="G86" s="26" t="s">
        <v>1107</v>
      </c>
      <c r="H86" s="41">
        <f>_xlfn.XLOOKUP(E86,commit_num_files!A$2:A$319,commit_num_files!B$2:B$319)</f>
      </c>
      <c r="I86" s="42">
        <f>_xlfn.XLOOKUP(C86,cve_title!A$2:A$164,cve_title!B$2:B$164)</f>
      </c>
      <c r="J86" s="1"/>
      <c r="K86" s="28" t="s">
        <v>1231</v>
      </c>
      <c r="L86" s="1" t="s">
        <v>1133</v>
      </c>
      <c r="M86" s="1" t="s">
        <v>1232</v>
      </c>
      <c r="N86" s="1" t="s">
        <v>714</v>
      </c>
    </row>
    <row x14ac:dyDescent="0.25" r="87" customHeight="1" ht="18.75">
      <c r="A87" s="1" t="s">
        <v>1230</v>
      </c>
      <c r="B87" s="1" t="s">
        <v>1114</v>
      </c>
      <c r="C87" s="36" t="s">
        <v>74</v>
      </c>
      <c r="D87" s="1" t="s">
        <v>1144</v>
      </c>
      <c r="E87" s="37" t="s">
        <v>377</v>
      </c>
      <c r="F87" s="25" t="s">
        <v>1100</v>
      </c>
      <c r="G87" s="26" t="s">
        <v>1106</v>
      </c>
      <c r="H87" s="49">
        <f>_xlfn.XLOOKUP(E87,commit_num_files!A$2:A$319,commit_num_files!B$2:B$319)</f>
      </c>
      <c r="I87" s="15">
        <f>_xlfn.XLOOKUP(C87,cve_title!A$2:A$164,cve_title!B$2:B$164)</f>
      </c>
      <c r="J87" s="1"/>
      <c r="K87" s="28" t="s">
        <v>1231</v>
      </c>
      <c r="L87" s="1" t="s">
        <v>1133</v>
      </c>
      <c r="M87" s="1"/>
      <c r="N87" s="1" t="s">
        <v>714</v>
      </c>
    </row>
    <row x14ac:dyDescent="0.25" r="88" customHeight="1" ht="18.75">
      <c r="A88" s="29" t="s">
        <v>1233</v>
      </c>
      <c r="B88" s="29" t="s">
        <v>1114</v>
      </c>
      <c r="C88" s="30" t="s">
        <v>76</v>
      </c>
      <c r="D88" s="29" t="s">
        <v>1234</v>
      </c>
      <c r="E88" s="31" t="s">
        <v>330</v>
      </c>
      <c r="F88" s="64" t="s">
        <v>1102</v>
      </c>
      <c r="G88" s="81" t="s">
        <v>1107</v>
      </c>
      <c r="H88" s="41">
        <f>_xlfn.XLOOKUP(E88,commit_num_files!A$2:A$319,commit_num_files!B$2:B$319)</f>
      </c>
      <c r="I88" s="38">
        <f>_xlfn.XLOOKUP(C88,cve_title!A$2:A$164,cve_title!B$2:B$164)</f>
      </c>
      <c r="J88" s="29"/>
      <c r="K88" s="35" t="s">
        <v>1235</v>
      </c>
      <c r="L88" s="29" t="s">
        <v>1133</v>
      </c>
      <c r="M88" s="82" t="s">
        <v>1236</v>
      </c>
      <c r="N88" s="29"/>
    </row>
    <row x14ac:dyDescent="0.25" r="89" customHeight="1" ht="18.75">
      <c r="A89" s="1" t="s">
        <v>1237</v>
      </c>
      <c r="B89" s="1" t="s">
        <v>1114</v>
      </c>
      <c r="C89" s="36" t="s">
        <v>78</v>
      </c>
      <c r="D89" s="1" t="s">
        <v>1238</v>
      </c>
      <c r="E89" s="37" t="s">
        <v>334</v>
      </c>
      <c r="F89" s="61" t="s">
        <v>1104</v>
      </c>
      <c r="G89" s="81" t="s">
        <v>1106</v>
      </c>
      <c r="H89" s="41">
        <f>_xlfn.XLOOKUP(E89,commit_num_files!A$2:A$319,commit_num_files!B$2:B$319)</f>
      </c>
      <c r="I89" s="15">
        <f>_xlfn.XLOOKUP(C89,cve_title!A$2:A$164,cve_title!B$2:B$164)</f>
      </c>
      <c r="J89" s="1"/>
      <c r="K89" s="28" t="s">
        <v>1239</v>
      </c>
      <c r="L89" s="1" t="s">
        <v>1133</v>
      </c>
      <c r="M89" s="63" t="s">
        <v>1240</v>
      </c>
      <c r="N89" s="1" t="s">
        <v>663</v>
      </c>
    </row>
    <row x14ac:dyDescent="0.25" r="90" customHeight="1" ht="18.75">
      <c r="A90" s="29" t="s">
        <v>1241</v>
      </c>
      <c r="B90" s="29" t="s">
        <v>1114</v>
      </c>
      <c r="C90" s="29" t="s">
        <v>80</v>
      </c>
      <c r="D90" s="29" t="s">
        <v>1130</v>
      </c>
      <c r="E90" s="31" t="s">
        <v>325</v>
      </c>
      <c r="F90" s="83" t="s">
        <v>1102</v>
      </c>
      <c r="G90" s="46" t="s">
        <v>1107</v>
      </c>
      <c r="H90" s="41">
        <f>_xlfn.XLOOKUP(E90,commit_num_files!A$2:A$319,commit_num_files!B$2:B$319)</f>
      </c>
      <c r="I90" s="38">
        <f>_xlfn.XLOOKUP(C90,cve_title!A$2:A$164,cve_title!B$2:B$164)</f>
      </c>
      <c r="J90" s="29"/>
      <c r="K90" s="35" t="s">
        <v>1242</v>
      </c>
      <c r="L90" s="29" t="s">
        <v>1149</v>
      </c>
      <c r="M90" s="29" t="s">
        <v>1243</v>
      </c>
      <c r="N90" s="29"/>
    </row>
    <row x14ac:dyDescent="0.25" r="91" customHeight="1" ht="18.75">
      <c r="A91" s="1" t="s">
        <v>1244</v>
      </c>
      <c r="B91" s="1" t="s">
        <v>1114</v>
      </c>
      <c r="C91" s="1" t="s">
        <v>82</v>
      </c>
      <c r="D91" s="1" t="s">
        <v>1147</v>
      </c>
      <c r="E91" s="37" t="s">
        <v>422</v>
      </c>
      <c r="F91" s="56" t="s">
        <v>1100</v>
      </c>
      <c r="G91" s="37" t="s">
        <v>1106</v>
      </c>
      <c r="H91" s="41">
        <f>_xlfn.XLOOKUP(E91,commit_num_files!A$2:A$319,commit_num_files!B$2:B$319)</f>
      </c>
      <c r="I91" s="38">
        <f>_xlfn.XLOOKUP(C91,cve_title!A$2:A$164,cve_title!B$2:B$164)</f>
      </c>
      <c r="J91" s="1"/>
      <c r="K91" s="28" t="s">
        <v>1245</v>
      </c>
      <c r="L91" s="29" t="s">
        <v>1149</v>
      </c>
      <c r="M91" s="1"/>
      <c r="N91" s="1" t="s">
        <v>659</v>
      </c>
    </row>
    <row x14ac:dyDescent="0.25" r="92" customHeight="1" ht="18.75">
      <c r="A92" s="22" t="s">
        <v>1246</v>
      </c>
      <c r="B92" s="22" t="s">
        <v>1114</v>
      </c>
      <c r="C92" s="22" t="s">
        <v>84</v>
      </c>
      <c r="D92" s="22" t="s">
        <v>1234</v>
      </c>
      <c r="E92" s="24" t="s">
        <v>469</v>
      </c>
      <c r="F92" s="71" t="s">
        <v>1102</v>
      </c>
      <c r="G92" s="24" t="s">
        <v>1107</v>
      </c>
      <c r="H92" s="41">
        <f>_xlfn.XLOOKUP(E92,commit_num_files!A$2:A$319,commit_num_files!B$2:B$319)</f>
      </c>
      <c r="I92" s="42">
        <f>_xlfn.XLOOKUP(C92,cve_title!A$2:A$164,cve_title!B$2:B$164)</f>
      </c>
      <c r="J92" s="22"/>
      <c r="K92" s="43" t="s">
        <v>1247</v>
      </c>
      <c r="L92" s="1" t="s">
        <v>1149</v>
      </c>
      <c r="M92" s="84" t="s">
        <v>1236</v>
      </c>
      <c r="N92" s="22" t="s">
        <v>829</v>
      </c>
    </row>
    <row x14ac:dyDescent="0.25" r="93" customHeight="1" ht="18.75">
      <c r="A93" s="1" t="s">
        <v>1246</v>
      </c>
      <c r="B93" s="1" t="s">
        <v>1114</v>
      </c>
      <c r="C93" s="1" t="s">
        <v>84</v>
      </c>
      <c r="D93" s="1" t="s">
        <v>1234</v>
      </c>
      <c r="E93" s="37" t="s">
        <v>469</v>
      </c>
      <c r="F93" s="56" t="s">
        <v>1102</v>
      </c>
      <c r="G93" s="37" t="s">
        <v>1107</v>
      </c>
      <c r="H93" s="7">
        <f>_xlfn.XLOOKUP(E93,commit_num_files!A$2:A$319,commit_num_files!B$2:B$319)</f>
      </c>
      <c r="I93" s="15">
        <f>_xlfn.XLOOKUP(C93,cve_title!A$2:A$164,cve_title!B$2:B$164)</f>
      </c>
      <c r="J93" s="1"/>
      <c r="K93" s="28" t="s">
        <v>1247</v>
      </c>
      <c r="L93" s="1" t="s">
        <v>1149</v>
      </c>
      <c r="M93" s="85" t="s">
        <v>1236</v>
      </c>
      <c r="N93" s="1" t="s">
        <v>830</v>
      </c>
    </row>
    <row x14ac:dyDescent="0.25" r="94" customHeight="1" ht="18.75">
      <c r="A94" s="1" t="s">
        <v>1246</v>
      </c>
      <c r="B94" s="1" t="s">
        <v>1114</v>
      </c>
      <c r="C94" s="1" t="s">
        <v>84</v>
      </c>
      <c r="D94" s="1" t="s">
        <v>1234</v>
      </c>
      <c r="E94" s="37" t="s">
        <v>469</v>
      </c>
      <c r="F94" s="56" t="s">
        <v>1102</v>
      </c>
      <c r="G94" s="37" t="s">
        <v>1107</v>
      </c>
      <c r="H94" s="7">
        <f>_xlfn.XLOOKUP(E94,commit_num_files!A$2:A$319,commit_num_files!B$2:B$319)</f>
      </c>
      <c r="I94" s="15">
        <f>_xlfn.XLOOKUP(C94,cve_title!A$2:A$164,cve_title!B$2:B$164)</f>
      </c>
      <c r="J94" s="1"/>
      <c r="K94" s="28" t="s">
        <v>1247</v>
      </c>
      <c r="L94" s="1" t="s">
        <v>1149</v>
      </c>
      <c r="M94" s="85" t="s">
        <v>1236</v>
      </c>
      <c r="N94" s="1" t="s">
        <v>831</v>
      </c>
    </row>
    <row x14ac:dyDescent="0.25" r="95" customHeight="1" ht="18.75">
      <c r="A95" s="1" t="s">
        <v>1246</v>
      </c>
      <c r="B95" s="1" t="s">
        <v>1114</v>
      </c>
      <c r="C95" s="1" t="s">
        <v>84</v>
      </c>
      <c r="D95" s="1" t="s">
        <v>1234</v>
      </c>
      <c r="E95" s="37" t="s">
        <v>469</v>
      </c>
      <c r="F95" s="56" t="s">
        <v>1102</v>
      </c>
      <c r="G95" s="37" t="s">
        <v>1107</v>
      </c>
      <c r="H95" s="7">
        <f>_xlfn.XLOOKUP(E95,commit_num_files!A$2:A$319,commit_num_files!B$2:B$319)</f>
      </c>
      <c r="I95" s="15">
        <f>_xlfn.XLOOKUP(C95,cve_title!A$2:A$164,cve_title!B$2:B$164)</f>
      </c>
      <c r="J95" s="1"/>
      <c r="K95" s="28" t="s">
        <v>1247</v>
      </c>
      <c r="L95" s="1" t="s">
        <v>1149</v>
      </c>
      <c r="M95" s="85" t="s">
        <v>1236</v>
      </c>
      <c r="N95" s="1" t="s">
        <v>832</v>
      </c>
    </row>
    <row x14ac:dyDescent="0.25" r="96" customHeight="1" ht="18.75">
      <c r="A96" s="1" t="s">
        <v>1246</v>
      </c>
      <c r="B96" s="1" t="s">
        <v>1114</v>
      </c>
      <c r="C96" s="1" t="s">
        <v>84</v>
      </c>
      <c r="D96" s="1" t="s">
        <v>1234</v>
      </c>
      <c r="E96" s="37" t="s">
        <v>469</v>
      </c>
      <c r="F96" s="56" t="s">
        <v>1097</v>
      </c>
      <c r="G96" s="37" t="s">
        <v>1106</v>
      </c>
      <c r="H96" s="7">
        <v>5</v>
      </c>
      <c r="I96" s="15">
        <f>_xlfn.XLOOKUP(C96,cve_title!A$2:A$164,cve_title!B$2:B$164)</f>
      </c>
      <c r="J96" s="1"/>
      <c r="K96" s="28" t="s">
        <v>1247</v>
      </c>
      <c r="L96" s="1" t="s">
        <v>1149</v>
      </c>
      <c r="M96" s="85"/>
      <c r="N96" s="1" t="s">
        <v>829</v>
      </c>
    </row>
    <row x14ac:dyDescent="0.25" r="97" customHeight="1" ht="18.75">
      <c r="A97" s="1" t="s">
        <v>1246</v>
      </c>
      <c r="B97" s="1" t="s">
        <v>1114</v>
      </c>
      <c r="C97" s="1" t="s">
        <v>84</v>
      </c>
      <c r="D97" s="1" t="s">
        <v>1234</v>
      </c>
      <c r="E97" s="37" t="s">
        <v>469</v>
      </c>
      <c r="F97" s="56" t="s">
        <v>1097</v>
      </c>
      <c r="G97" s="37" t="s">
        <v>1106</v>
      </c>
      <c r="H97" s="7">
        <v>5</v>
      </c>
      <c r="I97" s="15">
        <f>_xlfn.XLOOKUP(C97,cve_title!A$2:A$164,cve_title!B$2:B$164)</f>
      </c>
      <c r="J97" s="1"/>
      <c r="K97" s="28" t="s">
        <v>1247</v>
      </c>
      <c r="L97" s="1" t="s">
        <v>1149</v>
      </c>
      <c r="M97" s="85"/>
      <c r="N97" s="1" t="s">
        <v>830</v>
      </c>
    </row>
    <row x14ac:dyDescent="0.25" r="98" customHeight="1" ht="18.75">
      <c r="A98" s="44" t="s">
        <v>1246</v>
      </c>
      <c r="B98" s="44" t="s">
        <v>1114</v>
      </c>
      <c r="C98" s="44" t="s">
        <v>84</v>
      </c>
      <c r="D98" s="44" t="s">
        <v>1234</v>
      </c>
      <c r="E98" s="46" t="s">
        <v>469</v>
      </c>
      <c r="F98" s="58" t="s">
        <v>1097</v>
      </c>
      <c r="G98" s="46" t="s">
        <v>1106</v>
      </c>
      <c r="H98" s="7">
        <f>_xlfn.XLOOKUP(E98,commit_num_files!A$2:A$319,commit_num_files!B$2:B$319)</f>
      </c>
      <c r="I98" s="15">
        <f>_xlfn.XLOOKUP(C98,cve_title!A$2:A$164,cve_title!B$2:B$164)</f>
      </c>
      <c r="J98" s="1"/>
      <c r="K98" s="44" t="s">
        <v>1247</v>
      </c>
      <c r="L98" s="44" t="s">
        <v>1149</v>
      </c>
      <c r="M98" s="86"/>
      <c r="N98" s="44" t="s">
        <v>832</v>
      </c>
    </row>
    <row x14ac:dyDescent="0.25" r="99" customHeight="1" ht="18.75">
      <c r="A99" s="1" t="s">
        <v>1248</v>
      </c>
      <c r="B99" s="1" t="s">
        <v>1114</v>
      </c>
      <c r="C99" s="1" t="s">
        <v>86</v>
      </c>
      <c r="D99" s="1" t="s">
        <v>1234</v>
      </c>
      <c r="E99" s="37" t="s">
        <v>388</v>
      </c>
      <c r="F99" s="56" t="s">
        <v>1097</v>
      </c>
      <c r="G99" s="37" t="s">
        <v>1106</v>
      </c>
      <c r="H99" s="41">
        <f>_xlfn.XLOOKUP(E99,commit_num_files!A$2:A$319,commit_num_files!B$2:B$319)</f>
      </c>
      <c r="I99" s="42">
        <f>_xlfn.XLOOKUP(C99,cve_title!A$2:A$164,cve_title!B$2:B$164)</f>
      </c>
      <c r="J99" s="1"/>
      <c r="K99" s="28" t="s">
        <v>1249</v>
      </c>
      <c r="L99" s="1" t="s">
        <v>1149</v>
      </c>
      <c r="M99" s="1" t="s">
        <v>1250</v>
      </c>
      <c r="N99" s="1" t="s">
        <v>898</v>
      </c>
    </row>
    <row x14ac:dyDescent="0.25" r="100" customHeight="1" ht="18.75">
      <c r="A100" s="1" t="s">
        <v>1248</v>
      </c>
      <c r="B100" s="1" t="s">
        <v>1114</v>
      </c>
      <c r="C100" s="1" t="s">
        <v>86</v>
      </c>
      <c r="D100" s="1" t="s">
        <v>1234</v>
      </c>
      <c r="E100" s="37" t="s">
        <v>388</v>
      </c>
      <c r="F100" s="58" t="s">
        <v>1102</v>
      </c>
      <c r="G100" s="46" t="s">
        <v>1107</v>
      </c>
      <c r="H100" s="7">
        <f>_xlfn.XLOOKUP(E100,commit_num_files!A$2:A$319,commit_num_files!B$2:B$319)</f>
      </c>
      <c r="I100" s="15">
        <f>_xlfn.XLOOKUP(C100,cve_title!A$2:A$164,cve_title!B$2:B$164)</f>
      </c>
      <c r="J100" s="1"/>
      <c r="K100" s="44" t="s">
        <v>1249</v>
      </c>
      <c r="L100" s="44" t="s">
        <v>1149</v>
      </c>
      <c r="M100" s="86" t="s">
        <v>1236</v>
      </c>
      <c r="N100" s="44" t="s">
        <v>898</v>
      </c>
    </row>
    <row x14ac:dyDescent="0.25" r="101" customHeight="1" ht="18.75">
      <c r="A101" s="29" t="s">
        <v>1251</v>
      </c>
      <c r="B101" s="29" t="s">
        <v>1114</v>
      </c>
      <c r="C101" s="29" t="s">
        <v>88</v>
      </c>
      <c r="D101" s="29" t="s">
        <v>1144</v>
      </c>
      <c r="E101" s="31" t="s">
        <v>441</v>
      </c>
      <c r="F101" s="76" t="s">
        <v>1100</v>
      </c>
      <c r="G101" s="31" t="s">
        <v>1106</v>
      </c>
      <c r="H101" s="41">
        <f>_xlfn.XLOOKUP(E101,commit_num_files!A$2:A$319,commit_num_files!B$2:B$319)</f>
      </c>
      <c r="I101" s="38">
        <f>_xlfn.XLOOKUP(C101,cve_title!A$2:A$164,cve_title!B$2:B$164)</f>
      </c>
      <c r="J101" s="29"/>
      <c r="K101" s="35" t="s">
        <v>1252</v>
      </c>
      <c r="L101" s="29" t="s">
        <v>1149</v>
      </c>
      <c r="M101" s="29"/>
      <c r="N101" s="29" t="s">
        <v>865</v>
      </c>
    </row>
    <row x14ac:dyDescent="0.25" r="102" customHeight="1" ht="18.75">
      <c r="A102" s="1" t="s">
        <v>1253</v>
      </c>
      <c r="B102" s="1" t="s">
        <v>1114</v>
      </c>
      <c r="C102" s="1" t="s">
        <v>90</v>
      </c>
      <c r="D102" s="1" t="s">
        <v>1254</v>
      </c>
      <c r="E102" s="37" t="s">
        <v>442</v>
      </c>
      <c r="F102" s="56" t="s">
        <v>1104</v>
      </c>
      <c r="G102" s="37" t="s">
        <v>1107</v>
      </c>
      <c r="H102" s="41">
        <f>_xlfn.XLOOKUP(E102,commit_num_files!A$2:A$319,commit_num_files!B$2:B$319)</f>
      </c>
      <c r="I102" s="15">
        <f>_xlfn.XLOOKUP(C102,cve_title!A$2:A$164,cve_title!B$2:B$164)</f>
      </c>
      <c r="J102" s="1"/>
      <c r="K102" s="28" t="s">
        <v>1255</v>
      </c>
      <c r="L102" s="1" t="s">
        <v>1149</v>
      </c>
      <c r="M102" s="1"/>
      <c r="N102" s="1" t="s">
        <v>1256</v>
      </c>
    </row>
    <row x14ac:dyDescent="0.25" r="103" customHeight="1" ht="18.75">
      <c r="A103" s="1" t="s">
        <v>1253</v>
      </c>
      <c r="B103" s="1" t="s">
        <v>1114</v>
      </c>
      <c r="C103" s="1" t="s">
        <v>90</v>
      </c>
      <c r="D103" s="1" t="s">
        <v>1254</v>
      </c>
      <c r="E103" s="37" t="s">
        <v>442</v>
      </c>
      <c r="F103" s="56" t="s">
        <v>1100</v>
      </c>
      <c r="G103" s="37" t="s">
        <v>1106</v>
      </c>
      <c r="H103" s="7">
        <f>_xlfn.XLOOKUP(E103,commit_num_files!A$2:A$319,commit_num_files!B$2:B$319)</f>
      </c>
      <c r="I103" s="15">
        <f>_xlfn.XLOOKUP(C103,cve_title!A$2:A$164,cve_title!B$2:B$164)</f>
      </c>
      <c r="J103" s="1"/>
      <c r="K103" s="1" t="s">
        <v>1255</v>
      </c>
      <c r="L103" s="1" t="s">
        <v>1149</v>
      </c>
      <c r="M103" s="1"/>
      <c r="N103" s="1" t="s">
        <v>760</v>
      </c>
    </row>
    <row x14ac:dyDescent="0.25" r="104" customHeight="1" ht="18.75">
      <c r="A104" s="1" t="s">
        <v>1253</v>
      </c>
      <c r="B104" s="1" t="s">
        <v>1114</v>
      </c>
      <c r="C104" s="1" t="s">
        <v>90</v>
      </c>
      <c r="D104" s="1" t="s">
        <v>1254</v>
      </c>
      <c r="E104" s="37" t="s">
        <v>442</v>
      </c>
      <c r="F104" s="56" t="s">
        <v>1100</v>
      </c>
      <c r="G104" s="37" t="s">
        <v>1106</v>
      </c>
      <c r="H104" s="7">
        <f>_xlfn.XLOOKUP(E104,commit_num_files!A$2:A$319,commit_num_files!B$2:B$319)</f>
      </c>
      <c r="I104" s="15">
        <f>_xlfn.XLOOKUP(C104,cve_title!A$2:A$164,cve_title!B$2:B$164)</f>
      </c>
      <c r="J104" s="1"/>
      <c r="K104" s="1" t="s">
        <v>1255</v>
      </c>
      <c r="L104" s="1" t="s">
        <v>1149</v>
      </c>
      <c r="M104" s="1"/>
      <c r="N104" s="1" t="s">
        <v>765</v>
      </c>
    </row>
    <row x14ac:dyDescent="0.25" r="105" customHeight="1" ht="18.75">
      <c r="A105" s="1" t="s">
        <v>1253</v>
      </c>
      <c r="B105" s="1" t="s">
        <v>1114</v>
      </c>
      <c r="C105" s="1" t="s">
        <v>90</v>
      </c>
      <c r="D105" s="1" t="s">
        <v>1254</v>
      </c>
      <c r="E105" s="37" t="s">
        <v>442</v>
      </c>
      <c r="F105" s="56" t="s">
        <v>1102</v>
      </c>
      <c r="G105" s="37" t="s">
        <v>1106</v>
      </c>
      <c r="H105" s="7">
        <f>_xlfn.XLOOKUP(E105,commit_num_files!A$2:A$319,commit_num_files!B$2:B$319)</f>
      </c>
      <c r="I105" s="27">
        <f>_xlfn.XLOOKUP(C105,cve_title!A$2:A$164,cve_title!B$2:B$164)</f>
      </c>
      <c r="J105" s="1"/>
      <c r="K105" s="28" t="s">
        <v>1255</v>
      </c>
      <c r="L105" s="1" t="s">
        <v>1149</v>
      </c>
      <c r="M105" s="1"/>
      <c r="N105" s="1"/>
    </row>
    <row x14ac:dyDescent="0.25" r="106" customHeight="1" ht="18.75">
      <c r="A106" s="29" t="s">
        <v>1257</v>
      </c>
      <c r="B106" s="29" t="s">
        <v>1114</v>
      </c>
      <c r="C106" s="29" t="s">
        <v>92</v>
      </c>
      <c r="D106" s="29" t="s">
        <v>1144</v>
      </c>
      <c r="E106" s="31" t="s">
        <v>394</v>
      </c>
      <c r="F106" s="76" t="s">
        <v>1102</v>
      </c>
      <c r="G106" s="31" t="s">
        <v>1107</v>
      </c>
      <c r="H106" s="41">
        <f>_xlfn.XLOOKUP(E106,commit_num_files!A$2:A$319,commit_num_files!B$2:B$319)</f>
      </c>
      <c r="I106" s="15">
        <f>_xlfn.XLOOKUP(C106,cve_title!A$2:A$164,cve_title!B$2:B$164)</f>
      </c>
      <c r="J106" s="29"/>
      <c r="K106" s="29" t="s">
        <v>1258</v>
      </c>
      <c r="L106" s="29" t="s">
        <v>1149</v>
      </c>
      <c r="M106" s="29" t="s">
        <v>1259</v>
      </c>
      <c r="N106" s="29"/>
    </row>
    <row x14ac:dyDescent="0.25" r="107" customHeight="1" ht="18.75">
      <c r="A107" s="1" t="s">
        <v>1260</v>
      </c>
      <c r="B107" s="1" t="s">
        <v>1114</v>
      </c>
      <c r="C107" s="1" t="s">
        <v>94</v>
      </c>
      <c r="D107" s="1" t="s">
        <v>1130</v>
      </c>
      <c r="E107" s="37" t="s">
        <v>346</v>
      </c>
      <c r="F107" s="56" t="s">
        <v>1100</v>
      </c>
      <c r="G107" s="37" t="s">
        <v>1107</v>
      </c>
      <c r="H107" s="41">
        <f>_xlfn.XLOOKUP(E107,commit_num_files!A$2:A$319,commit_num_files!B$2:B$319)</f>
      </c>
      <c r="I107" s="38">
        <f>_xlfn.XLOOKUP(C107,cve_title!A$2:A$164,cve_title!B$2:B$164)</f>
      </c>
      <c r="J107" s="1"/>
      <c r="K107" s="1" t="s">
        <v>1261</v>
      </c>
      <c r="L107" s="1" t="s">
        <v>1149</v>
      </c>
      <c r="M107" s="1" t="s">
        <v>1262</v>
      </c>
      <c r="N107" s="1"/>
    </row>
    <row x14ac:dyDescent="0.25" r="108" customHeight="1" ht="18.75">
      <c r="A108" s="22" t="s">
        <v>1263</v>
      </c>
      <c r="B108" s="22" t="s">
        <v>1114</v>
      </c>
      <c r="C108" s="22" t="s">
        <v>96</v>
      </c>
      <c r="D108" s="22" t="s">
        <v>1147</v>
      </c>
      <c r="E108" s="24" t="s">
        <v>434</v>
      </c>
      <c r="F108" s="71" t="s">
        <v>1103</v>
      </c>
      <c r="G108" s="24" t="s">
        <v>1106</v>
      </c>
      <c r="H108" s="41">
        <f>_xlfn.XLOOKUP(E108,commit_num_files!A$2:A$319,commit_num_files!B$2:B$319)</f>
      </c>
      <c r="I108" s="15">
        <f>_xlfn.XLOOKUP(C108,cve_title!A$2:A$164,cve_title!B$2:B$164)</f>
      </c>
      <c r="J108" s="22"/>
      <c r="K108" s="43" t="s">
        <v>1264</v>
      </c>
      <c r="L108" s="22" t="s">
        <v>1149</v>
      </c>
      <c r="M108" s="22"/>
      <c r="N108" s="22" t="s">
        <v>821</v>
      </c>
    </row>
    <row x14ac:dyDescent="0.25" r="109" customHeight="1" ht="18.75">
      <c r="A109" s="44" t="s">
        <v>1263</v>
      </c>
      <c r="B109" s="44" t="s">
        <v>1114</v>
      </c>
      <c r="C109" s="44" t="s">
        <v>96</v>
      </c>
      <c r="D109" s="44" t="s">
        <v>1147</v>
      </c>
      <c r="E109" s="46" t="s">
        <v>434</v>
      </c>
      <c r="F109" s="58" t="s">
        <v>1103</v>
      </c>
      <c r="G109" s="46" t="s">
        <v>1106</v>
      </c>
      <c r="H109" s="7">
        <f>_xlfn.XLOOKUP(E109,commit_num_files!A$2:A$319,commit_num_files!B$2:B$319)</f>
      </c>
      <c r="I109" s="27">
        <f>_xlfn.XLOOKUP(C109,cve_title!A$2:A$164,cve_title!B$2:B$164)</f>
      </c>
      <c r="J109" s="44"/>
      <c r="K109" s="50" t="s">
        <v>1264</v>
      </c>
      <c r="L109" s="44" t="s">
        <v>1149</v>
      </c>
      <c r="M109" s="44"/>
      <c r="N109" s="44" t="s">
        <v>822</v>
      </c>
    </row>
    <row x14ac:dyDescent="0.25" r="110" customHeight="1" ht="18.75">
      <c r="A110" s="1" t="s">
        <v>1265</v>
      </c>
      <c r="B110" s="1" t="s">
        <v>1114</v>
      </c>
      <c r="C110" s="1" t="s">
        <v>98</v>
      </c>
      <c r="D110" s="1" t="s">
        <v>1147</v>
      </c>
      <c r="E110" s="37" t="s">
        <v>414</v>
      </c>
      <c r="F110" s="56" t="s">
        <v>1102</v>
      </c>
      <c r="G110" s="37" t="s">
        <v>1107</v>
      </c>
      <c r="H110" s="41">
        <f>_xlfn.XLOOKUP(E110,commit_num_files!A$2:A$319,commit_num_files!B$2:B$319)</f>
      </c>
      <c r="I110" s="15">
        <f>_xlfn.XLOOKUP(C110,cve_title!A$2:A$164,cve_title!B$2:B$164)</f>
      </c>
      <c r="J110" s="1"/>
      <c r="K110" s="28" t="s">
        <v>1266</v>
      </c>
      <c r="L110" s="1" t="s">
        <v>1149</v>
      </c>
      <c r="M110" s="1"/>
      <c r="N110" s="1" t="s">
        <v>882</v>
      </c>
    </row>
    <row x14ac:dyDescent="0.25" r="111" customHeight="1" ht="18.75">
      <c r="A111" s="1" t="s">
        <v>1265</v>
      </c>
      <c r="B111" s="1" t="s">
        <v>1114</v>
      </c>
      <c r="C111" s="1" t="s">
        <v>98</v>
      </c>
      <c r="D111" s="1" t="s">
        <v>1147</v>
      </c>
      <c r="E111" s="37" t="s">
        <v>414</v>
      </c>
      <c r="F111" s="56" t="s">
        <v>1102</v>
      </c>
      <c r="G111" s="37" t="s">
        <v>1107</v>
      </c>
      <c r="H111" s="69">
        <f>_xlfn.XLOOKUP(E111,commit_num_files!A$2:A$319,commit_num_files!B$2:B$319)</f>
      </c>
      <c r="I111" s="15">
        <f>_xlfn.XLOOKUP(C111,cve_title!A$2:A$164,cve_title!B$2:B$164)</f>
      </c>
      <c r="J111" s="1"/>
      <c r="K111" s="28" t="s">
        <v>1266</v>
      </c>
      <c r="L111" s="1" t="s">
        <v>1149</v>
      </c>
      <c r="M111" s="1"/>
      <c r="N111" s="1" t="s">
        <v>883</v>
      </c>
    </row>
    <row x14ac:dyDescent="0.25" r="112" customHeight="1" ht="18.75">
      <c r="A112" s="1" t="s">
        <v>1265</v>
      </c>
      <c r="B112" s="1" t="s">
        <v>1114</v>
      </c>
      <c r="C112" s="1" t="s">
        <v>98</v>
      </c>
      <c r="D112" s="1" t="s">
        <v>1147</v>
      </c>
      <c r="E112" s="37" t="s">
        <v>414</v>
      </c>
      <c r="F112" s="56" t="s">
        <v>1104</v>
      </c>
      <c r="G112" s="37" t="s">
        <v>1107</v>
      </c>
      <c r="H112" s="7">
        <f>_xlfn.XLOOKUP(E112,commit_num_files!A$2:A$319,commit_num_files!B$2:B$319)</f>
      </c>
      <c r="I112" s="15">
        <f>_xlfn.XLOOKUP(C112,cve_title!A$2:A$164,cve_title!B$2:B$164)</f>
      </c>
      <c r="J112" s="1"/>
      <c r="K112" s="1" t="s">
        <v>1266</v>
      </c>
      <c r="L112" s="1" t="s">
        <v>1149</v>
      </c>
      <c r="M112" s="1"/>
      <c r="N112" s="1"/>
    </row>
    <row x14ac:dyDescent="0.25" r="113" customHeight="1" ht="18.75">
      <c r="A113" s="1" t="s">
        <v>1265</v>
      </c>
      <c r="B113" s="1" t="s">
        <v>1114</v>
      </c>
      <c r="C113" s="1" t="s">
        <v>98</v>
      </c>
      <c r="D113" s="1" t="s">
        <v>1147</v>
      </c>
      <c r="E113" s="37" t="s">
        <v>414</v>
      </c>
      <c r="F113" s="56" t="s">
        <v>1100</v>
      </c>
      <c r="G113" s="37" t="s">
        <v>1108</v>
      </c>
      <c r="H113" s="7">
        <f>_xlfn.XLOOKUP(E113,commit_num_files!A$2:A$319,commit_num_files!B$2:B$319)</f>
      </c>
      <c r="I113" s="15">
        <f>_xlfn.XLOOKUP(C113,cve_title!A$2:A$164,cve_title!B$2:B$164)</f>
      </c>
      <c r="J113" s="1"/>
      <c r="K113" s="1" t="s">
        <v>1266</v>
      </c>
      <c r="L113" s="1" t="s">
        <v>1149</v>
      </c>
      <c r="M113" s="1"/>
      <c r="N113" s="1"/>
    </row>
    <row x14ac:dyDescent="0.25" r="114" customHeight="1" ht="18.75">
      <c r="A114" s="1" t="s">
        <v>1265</v>
      </c>
      <c r="B114" s="1" t="s">
        <v>1114</v>
      </c>
      <c r="C114" s="1" t="s">
        <v>98</v>
      </c>
      <c r="D114" s="1" t="s">
        <v>1147</v>
      </c>
      <c r="E114" s="37" t="s">
        <v>414</v>
      </c>
      <c r="F114" s="56" t="s">
        <v>1100</v>
      </c>
      <c r="G114" s="37" t="s">
        <v>1106</v>
      </c>
      <c r="H114" s="49">
        <f>_xlfn.XLOOKUP(E114,commit_num_files!A$2:A$319,commit_num_files!B$2:B$319)</f>
      </c>
      <c r="I114" s="27">
        <f>_xlfn.XLOOKUP(C114,cve_title!A$2:A$164,cve_title!B$2:B$164)</f>
      </c>
      <c r="J114" s="1"/>
      <c r="K114" s="1" t="s">
        <v>1266</v>
      </c>
      <c r="L114" s="1" t="s">
        <v>1149</v>
      </c>
      <c r="M114" s="1"/>
      <c r="N114" s="1"/>
    </row>
    <row x14ac:dyDescent="0.25" r="115" customHeight="1" ht="18.75">
      <c r="A115" s="22" t="s">
        <v>1267</v>
      </c>
      <c r="B115" s="22" t="s">
        <v>1114</v>
      </c>
      <c r="C115" s="22" t="s">
        <v>100</v>
      </c>
      <c r="D115" s="22" t="s">
        <v>1268</v>
      </c>
      <c r="E115" s="24" t="s">
        <v>327</v>
      </c>
      <c r="F115" s="71" t="s">
        <v>1104</v>
      </c>
      <c r="G115" s="24" t="s">
        <v>1107</v>
      </c>
      <c r="H115" s="41">
        <f>_xlfn.XLOOKUP(E115,commit_num_files!A$2:A$319,commit_num_files!B$2:B$319)</f>
      </c>
      <c r="I115" s="15">
        <f>_xlfn.XLOOKUP(C115,cve_title!A$2:A$164,cve_title!B$2:B$164)</f>
      </c>
      <c r="J115" s="22"/>
      <c r="K115" s="43" t="s">
        <v>1269</v>
      </c>
      <c r="L115" s="22" t="s">
        <v>1149</v>
      </c>
      <c r="M115" s="22"/>
      <c r="N115" s="22"/>
    </row>
    <row x14ac:dyDescent="0.25" r="116" customHeight="1" ht="18.75">
      <c r="A116" s="44" t="s">
        <v>1267</v>
      </c>
      <c r="B116" s="44" t="s">
        <v>1114</v>
      </c>
      <c r="C116" s="44" t="s">
        <v>100</v>
      </c>
      <c r="D116" s="44" t="s">
        <v>1268</v>
      </c>
      <c r="E116" s="46" t="s">
        <v>327</v>
      </c>
      <c r="F116" s="56" t="s">
        <v>1102</v>
      </c>
      <c r="G116" s="37" t="s">
        <v>1107</v>
      </c>
      <c r="H116" s="7">
        <f>_xlfn.XLOOKUP(E116,commit_num_files!A$2:A$319,commit_num_files!B$2:B$319)</f>
      </c>
      <c r="I116" s="27">
        <f>_xlfn.XLOOKUP(C116,cve_title!A$2:A$164,cve_title!B$2:B$164)</f>
      </c>
      <c r="J116" s="1"/>
      <c r="K116" s="28" t="s">
        <v>1269</v>
      </c>
      <c r="L116" s="1" t="s">
        <v>1149</v>
      </c>
      <c r="M116" s="1"/>
      <c r="N116" s="1"/>
    </row>
    <row x14ac:dyDescent="0.25" r="117" customHeight="1" ht="18.75">
      <c r="A117" s="22" t="s">
        <v>1270</v>
      </c>
      <c r="B117" s="22" t="s">
        <v>1114</v>
      </c>
      <c r="C117" s="22" t="s">
        <v>102</v>
      </c>
      <c r="D117" s="22" t="s">
        <v>1147</v>
      </c>
      <c r="E117" s="24" t="s">
        <v>412</v>
      </c>
      <c r="F117" s="71" t="s">
        <v>1100</v>
      </c>
      <c r="G117" s="24" t="s">
        <v>1106</v>
      </c>
      <c r="H117" s="41">
        <f>_xlfn.XLOOKUP(E117,commit_num_files!A$2:A$319,commit_num_files!B$2:B$319)</f>
      </c>
      <c r="I117" s="15">
        <f>_xlfn.XLOOKUP(C117,cve_title!A$2:A$164,cve_title!B$2:B$164)</f>
      </c>
      <c r="J117" s="22"/>
      <c r="K117" s="43" t="s">
        <v>1271</v>
      </c>
      <c r="L117" s="22" t="s">
        <v>1149</v>
      </c>
      <c r="M117" s="22"/>
      <c r="N117" s="22" t="s">
        <v>1272</v>
      </c>
    </row>
    <row x14ac:dyDescent="0.25" r="118" customHeight="1" ht="18.75">
      <c r="A118" s="1" t="s">
        <v>1270</v>
      </c>
      <c r="B118" s="1" t="s">
        <v>1114</v>
      </c>
      <c r="C118" s="1" t="s">
        <v>102</v>
      </c>
      <c r="D118" s="1" t="s">
        <v>1147</v>
      </c>
      <c r="E118" s="37" t="s">
        <v>412</v>
      </c>
      <c r="F118" s="56" t="s">
        <v>1104</v>
      </c>
      <c r="G118" s="37" t="s">
        <v>1106</v>
      </c>
      <c r="H118" s="7">
        <f>_xlfn.XLOOKUP(E118,commit_num_files!A$2:A$319,commit_num_files!B$2:B$319)</f>
      </c>
      <c r="I118" s="15">
        <f>_xlfn.XLOOKUP(C118,cve_title!A$2:A$164,cve_title!B$2:B$164)</f>
      </c>
      <c r="J118" s="1"/>
      <c r="K118" s="1" t="s">
        <v>1271</v>
      </c>
      <c r="L118" s="1" t="s">
        <v>1149</v>
      </c>
      <c r="M118" s="1"/>
      <c r="N118" s="1"/>
    </row>
    <row x14ac:dyDescent="0.25" r="119" customHeight="1" ht="18.75">
      <c r="A119" s="22" t="s">
        <v>1273</v>
      </c>
      <c r="B119" s="22" t="s">
        <v>1114</v>
      </c>
      <c r="C119" s="22" t="s">
        <v>104</v>
      </c>
      <c r="D119" s="22" t="s">
        <v>1147</v>
      </c>
      <c r="E119" s="24" t="s">
        <v>418</v>
      </c>
      <c r="F119" s="71" t="s">
        <v>1104</v>
      </c>
      <c r="G119" s="24" t="s">
        <v>1107</v>
      </c>
      <c r="H119" s="41">
        <f>_xlfn.XLOOKUP(E119,commit_num_files!A$2:A$319,commit_num_files!B$2:B$319)</f>
      </c>
      <c r="I119" s="42">
        <f>_xlfn.XLOOKUP(C119,cve_title!A$2:A$164,cve_title!B$2:B$164)</f>
      </c>
      <c r="J119" s="22"/>
      <c r="K119" s="22" t="s">
        <v>1274</v>
      </c>
      <c r="L119" s="22" t="s">
        <v>1149</v>
      </c>
      <c r="M119" s="22"/>
      <c r="N119" s="22" t="s">
        <v>808</v>
      </c>
    </row>
    <row x14ac:dyDescent="0.25" r="120" customHeight="1" ht="18.75">
      <c r="A120" s="44" t="s">
        <v>1273</v>
      </c>
      <c r="B120" s="44" t="s">
        <v>1114</v>
      </c>
      <c r="C120" s="44" t="s">
        <v>104</v>
      </c>
      <c r="D120" s="44" t="s">
        <v>1147</v>
      </c>
      <c r="E120" s="46" t="s">
        <v>418</v>
      </c>
      <c r="F120" s="58" t="s">
        <v>1104</v>
      </c>
      <c r="G120" s="46" t="s">
        <v>1107</v>
      </c>
      <c r="H120" s="49">
        <f>_xlfn.XLOOKUP(E120,commit_num_files!A$2:A$319,commit_num_files!B$2:B$319)</f>
      </c>
      <c r="I120" s="15">
        <f>_xlfn.XLOOKUP(C120,cve_title!A$2:A$164,cve_title!B$2:B$164)</f>
      </c>
      <c r="J120" s="44"/>
      <c r="K120" s="44" t="s">
        <v>1274</v>
      </c>
      <c r="L120" s="44" t="s">
        <v>1149</v>
      </c>
      <c r="M120" s="44"/>
      <c r="N120" s="44" t="s">
        <v>809</v>
      </c>
    </row>
    <row x14ac:dyDescent="0.25" r="121" customHeight="1" ht="18.75">
      <c r="A121" s="1" t="s">
        <v>1275</v>
      </c>
      <c r="B121" s="1" t="s">
        <v>1114</v>
      </c>
      <c r="C121" s="1" t="s">
        <v>106</v>
      </c>
      <c r="D121" s="1" t="s">
        <v>1144</v>
      </c>
      <c r="E121" s="31" t="s">
        <v>332</v>
      </c>
      <c r="F121" s="56" t="s">
        <v>1102</v>
      </c>
      <c r="G121" s="37" t="s">
        <v>1106</v>
      </c>
      <c r="H121" s="7">
        <f>_xlfn.XLOOKUP(E121,commit_num_files!A$2:A$319,commit_num_files!B$2:B$319)</f>
      </c>
      <c r="I121" s="42">
        <f>_xlfn.XLOOKUP(C121,cve_title!A$2:A$164,cve_title!B$2:B$164)</f>
      </c>
      <c r="J121" s="1"/>
      <c r="K121" s="28" t="s">
        <v>1276</v>
      </c>
      <c r="L121" s="1" t="s">
        <v>1149</v>
      </c>
      <c r="M121" s="1"/>
      <c r="N121" s="1"/>
    </row>
    <row x14ac:dyDescent="0.25" r="122" customHeight="1" ht="18.75">
      <c r="A122" s="1" t="s">
        <v>1275</v>
      </c>
      <c r="B122" s="1" t="s">
        <v>1114</v>
      </c>
      <c r="C122" s="1" t="s">
        <v>106</v>
      </c>
      <c r="D122" s="1" t="s">
        <v>1144</v>
      </c>
      <c r="E122" s="37" t="s">
        <v>332</v>
      </c>
      <c r="F122" s="56" t="s">
        <v>1102</v>
      </c>
      <c r="G122" s="37" t="s">
        <v>1107</v>
      </c>
      <c r="H122" s="7">
        <f>_xlfn.XLOOKUP(E122,commit_num_files!A$2:A$319,commit_num_files!B$2:B$319)</f>
      </c>
      <c r="I122" s="15">
        <f>_xlfn.XLOOKUP(C122,cve_title!A$2:A$164,cve_title!B$2:B$164)</f>
      </c>
      <c r="J122" s="1"/>
      <c r="K122" s="28" t="s">
        <v>1276</v>
      </c>
      <c r="L122" s="1" t="s">
        <v>1149</v>
      </c>
      <c r="M122" s="1"/>
      <c r="N122" s="1"/>
    </row>
    <row x14ac:dyDescent="0.25" r="123" customHeight="1" ht="18.75">
      <c r="A123" s="1" t="s">
        <v>1275</v>
      </c>
      <c r="B123" s="1" t="s">
        <v>1114</v>
      </c>
      <c r="C123" s="1" t="s">
        <v>106</v>
      </c>
      <c r="D123" s="1" t="s">
        <v>1144</v>
      </c>
      <c r="E123" s="37" t="s">
        <v>332</v>
      </c>
      <c r="F123" s="56" t="s">
        <v>1097</v>
      </c>
      <c r="G123" s="37" t="s">
        <v>1107</v>
      </c>
      <c r="H123" s="7">
        <f>_xlfn.XLOOKUP(E123,commit_num_files!A$2:A$319,commit_num_files!B$2:B$319)</f>
      </c>
      <c r="I123" s="15">
        <f>_xlfn.XLOOKUP(C123,cve_title!A$2:A$164,cve_title!B$2:B$164)</f>
      </c>
      <c r="J123" s="1"/>
      <c r="K123" s="1" t="s">
        <v>1276</v>
      </c>
      <c r="L123" s="1" t="s">
        <v>1149</v>
      </c>
      <c r="M123" s="1"/>
      <c r="N123" s="1"/>
    </row>
    <row x14ac:dyDescent="0.25" r="124" customHeight="1" ht="18.75">
      <c r="A124" s="1" t="s">
        <v>1275</v>
      </c>
      <c r="B124" s="1" t="s">
        <v>1114</v>
      </c>
      <c r="C124" s="1" t="s">
        <v>106</v>
      </c>
      <c r="D124" s="1" t="s">
        <v>1144</v>
      </c>
      <c r="E124" s="37" t="s">
        <v>332</v>
      </c>
      <c r="F124" s="56" t="s">
        <v>1100</v>
      </c>
      <c r="G124" s="37" t="s">
        <v>1107</v>
      </c>
      <c r="H124" s="7">
        <f>_xlfn.XLOOKUP(E124,commit_num_files!A$2:A$319,commit_num_files!B$2:B$319)</f>
      </c>
      <c r="I124" s="27">
        <f>_xlfn.XLOOKUP(C124,cve_title!A$2:A$164,cve_title!B$2:B$164)</f>
      </c>
      <c r="J124" s="1"/>
      <c r="K124" s="1" t="s">
        <v>1276</v>
      </c>
      <c r="L124" s="1" t="s">
        <v>1149</v>
      </c>
      <c r="M124" s="1"/>
      <c r="N124" s="1"/>
    </row>
    <row x14ac:dyDescent="0.25" r="125" customHeight="1" ht="18.75">
      <c r="A125" s="22" t="s">
        <v>1277</v>
      </c>
      <c r="B125" s="22" t="s">
        <v>1114</v>
      </c>
      <c r="C125" s="22" t="s">
        <v>108</v>
      </c>
      <c r="D125" s="22" t="s">
        <v>1144</v>
      </c>
      <c r="E125" s="24" t="s">
        <v>385</v>
      </c>
      <c r="F125" s="71" t="s">
        <v>1100</v>
      </c>
      <c r="G125" s="24" t="s">
        <v>1106</v>
      </c>
      <c r="H125" s="41">
        <f>_xlfn.XLOOKUP(E125,commit_num_files!A$2:A$319,commit_num_files!B$2:B$319)</f>
      </c>
      <c r="I125" s="15">
        <f>_xlfn.XLOOKUP(C125,cve_title!A$2:A$164,cve_title!B$2:B$164)</f>
      </c>
      <c r="J125" s="22"/>
      <c r="K125" s="22" t="s">
        <v>1278</v>
      </c>
      <c r="L125" s="22" t="s">
        <v>1149</v>
      </c>
      <c r="M125" s="22"/>
      <c r="N125" s="22"/>
    </row>
    <row x14ac:dyDescent="0.25" r="126" customHeight="1" ht="18.75">
      <c r="A126" s="22" t="s">
        <v>1277</v>
      </c>
      <c r="B126" s="22" t="s">
        <v>1114</v>
      </c>
      <c r="C126" s="22" t="s">
        <v>108</v>
      </c>
      <c r="D126" s="22" t="s">
        <v>1144</v>
      </c>
      <c r="E126" s="24" t="s">
        <v>385</v>
      </c>
      <c r="F126" s="56" t="s">
        <v>1100</v>
      </c>
      <c r="G126" s="37" t="s">
        <v>1107</v>
      </c>
      <c r="H126" s="7">
        <f>_xlfn.XLOOKUP(E126,commit_num_files!A$2:A$319,commit_num_files!B$2:B$319)</f>
      </c>
      <c r="I126" s="15">
        <f>_xlfn.XLOOKUP(C126,cve_title!A$2:A$164,cve_title!B$2:B$164)</f>
      </c>
      <c r="J126" s="1"/>
      <c r="K126" s="1" t="s">
        <v>1278</v>
      </c>
      <c r="L126" s="1" t="s">
        <v>1149</v>
      </c>
      <c r="M126" s="1" t="s">
        <v>1279</v>
      </c>
      <c r="N126" s="1"/>
    </row>
    <row x14ac:dyDescent="0.25" r="127" customHeight="1" ht="18.75">
      <c r="A127" s="22" t="s">
        <v>1280</v>
      </c>
      <c r="B127" s="22" t="s">
        <v>1114</v>
      </c>
      <c r="C127" s="22" t="s">
        <v>110</v>
      </c>
      <c r="D127" s="22" t="s">
        <v>1167</v>
      </c>
      <c r="E127" s="24" t="s">
        <v>417</v>
      </c>
      <c r="F127" s="71" t="s">
        <v>1102</v>
      </c>
      <c r="G127" s="24" t="s">
        <v>1107</v>
      </c>
      <c r="H127" s="87">
        <f>_xlfn.XLOOKUP(E127,commit_num_files!A$2:A$319,commit_num_files!B$2:B$319)</f>
      </c>
      <c r="I127" s="42">
        <f>_xlfn.XLOOKUP(C127,cve_title!A$2:A$164,cve_title!B$2:B$164)</f>
      </c>
      <c r="J127" s="22"/>
      <c r="K127" s="43" t="s">
        <v>1281</v>
      </c>
      <c r="L127" s="22" t="s">
        <v>1149</v>
      </c>
      <c r="M127" s="22" t="s">
        <v>1282</v>
      </c>
      <c r="N127" s="22" t="s">
        <v>857</v>
      </c>
    </row>
    <row x14ac:dyDescent="0.25" r="128" customHeight="1" ht="18.75">
      <c r="A128" s="44" t="s">
        <v>1280</v>
      </c>
      <c r="B128" s="44" t="s">
        <v>1114</v>
      </c>
      <c r="C128" s="44" t="s">
        <v>110</v>
      </c>
      <c r="D128" s="44" t="s">
        <v>1167</v>
      </c>
      <c r="E128" s="46" t="s">
        <v>417</v>
      </c>
      <c r="F128" s="88" t="s">
        <v>1102</v>
      </c>
      <c r="G128" s="46" t="s">
        <v>1107</v>
      </c>
      <c r="H128" s="7">
        <f>_xlfn.XLOOKUP(E128,commit_num_files!A$2:A$319,commit_num_files!B$2:B$319)</f>
      </c>
      <c r="I128" s="15">
        <f>_xlfn.XLOOKUP(C128,cve_title!A$2:A$164,cve_title!B$2:B$164)</f>
      </c>
      <c r="J128" s="1"/>
      <c r="K128" s="50" t="s">
        <v>1281</v>
      </c>
      <c r="L128" s="44" t="s">
        <v>1149</v>
      </c>
      <c r="M128" s="1" t="s">
        <v>1282</v>
      </c>
      <c r="N128" s="44" t="s">
        <v>858</v>
      </c>
    </row>
    <row x14ac:dyDescent="0.25" r="129" customHeight="1" ht="18.75">
      <c r="A129" s="1" t="s">
        <v>1283</v>
      </c>
      <c r="B129" s="1" t="s">
        <v>1114</v>
      </c>
      <c r="C129" s="1" t="s">
        <v>112</v>
      </c>
      <c r="D129" s="1" t="s">
        <v>1144</v>
      </c>
      <c r="E129" s="24" t="s">
        <v>324</v>
      </c>
      <c r="F129" s="71" t="s">
        <v>1100</v>
      </c>
      <c r="G129" s="24" t="s">
        <v>1106</v>
      </c>
      <c r="H129" s="41">
        <f>_xlfn.XLOOKUP(E129,commit_num_files!A$2:A$319,commit_num_files!B$2:B$319)</f>
      </c>
      <c r="I129" s="42">
        <f>_xlfn.XLOOKUP(C129,cve_title!A$2:A$164,cve_title!B$2:B$164)</f>
      </c>
      <c r="J129" s="22"/>
      <c r="K129" s="22" t="s">
        <v>1284</v>
      </c>
      <c r="L129" s="22" t="s">
        <v>1149</v>
      </c>
      <c r="M129" s="22"/>
      <c r="N129" s="22"/>
    </row>
    <row x14ac:dyDescent="0.25" r="130" customHeight="1" ht="18.75">
      <c r="A130" s="89" t="s">
        <v>1283</v>
      </c>
      <c r="B130" s="89" t="s">
        <v>1114</v>
      </c>
      <c r="C130" s="89" t="s">
        <v>112</v>
      </c>
      <c r="D130" s="89" t="s">
        <v>1144</v>
      </c>
      <c r="E130" s="90" t="s">
        <v>324</v>
      </c>
      <c r="F130" s="91" t="s">
        <v>1100</v>
      </c>
      <c r="G130" s="90" t="s">
        <v>1107</v>
      </c>
      <c r="H130" s="92">
        <f>_xlfn.XLOOKUP(E130,commit_num_files!A$2:A$319,commit_num_files!B$2:B$319)</f>
      </c>
      <c r="I130" s="15">
        <f>_xlfn.XLOOKUP(C130,cve_title!A$2:A$164,cve_title!B$2:B$164)</f>
      </c>
      <c r="J130" s="89"/>
      <c r="K130" s="89" t="s">
        <v>1284</v>
      </c>
      <c r="L130" s="89" t="s">
        <v>1149</v>
      </c>
      <c r="M130" s="89"/>
      <c r="N130" s="89"/>
    </row>
    <row x14ac:dyDescent="0.25" r="131" customHeight="1" ht="18.75">
      <c r="A131" s="44" t="s">
        <v>1285</v>
      </c>
      <c r="B131" s="44" t="s">
        <v>1113</v>
      </c>
      <c r="C131" s="44" t="s">
        <v>114</v>
      </c>
      <c r="D131" s="44" t="s">
        <v>1254</v>
      </c>
      <c r="E131" s="46" t="s">
        <v>559</v>
      </c>
      <c r="F131" s="58" t="s">
        <v>1097</v>
      </c>
      <c r="G131" s="46" t="s">
        <v>1106</v>
      </c>
      <c r="H131" s="49">
        <f>_xlfn.XLOOKUP(E131,commit_num_files!A$2:A$319,commit_num_files!B$2:B$319)</f>
      </c>
      <c r="I131" s="93">
        <f>_xlfn.XLOOKUP(C131,cve_title!A$2:A$164,cve_title!B$2:B$164)</f>
      </c>
      <c r="J131" s="44"/>
      <c r="K131" s="50" t="s">
        <v>1286</v>
      </c>
      <c r="L131" s="44" t="s">
        <v>1149</v>
      </c>
      <c r="M131" s="44"/>
      <c r="N131" s="44"/>
    </row>
    <row x14ac:dyDescent="0.25" r="132" customHeight="1" ht="18.75">
      <c r="A132" s="1" t="s">
        <v>1287</v>
      </c>
      <c r="B132" s="1" t="s">
        <v>1113</v>
      </c>
      <c r="C132" s="1" t="s">
        <v>116</v>
      </c>
      <c r="D132" s="1" t="s">
        <v>1147</v>
      </c>
      <c r="E132" s="37" t="s">
        <v>608</v>
      </c>
      <c r="F132" s="56" t="s">
        <v>1102</v>
      </c>
      <c r="G132" s="37" t="s">
        <v>1107</v>
      </c>
      <c r="H132" s="41">
        <f>_xlfn.XLOOKUP(E132,commit_num_files!A$2:A$319,commit_num_files!B$2:B$319)</f>
      </c>
      <c r="I132" s="42">
        <f>_xlfn.XLOOKUP(C132,cve_title!A$2:A$164,cve_title!B$2:B$164)</f>
      </c>
      <c r="J132" s="1"/>
      <c r="K132" s="28" t="s">
        <v>1288</v>
      </c>
      <c r="L132" s="1" t="s">
        <v>1149</v>
      </c>
      <c r="M132" s="1" t="s">
        <v>1289</v>
      </c>
      <c r="N132" s="1" t="s">
        <v>939</v>
      </c>
    </row>
    <row x14ac:dyDescent="0.25" r="133" customHeight="1" ht="18.75">
      <c r="A133" s="1" t="s">
        <v>1287</v>
      </c>
      <c r="B133" s="1" t="s">
        <v>1113</v>
      </c>
      <c r="C133" s="1" t="s">
        <v>116</v>
      </c>
      <c r="D133" s="1" t="s">
        <v>1147</v>
      </c>
      <c r="E133" s="37" t="s">
        <v>608</v>
      </c>
      <c r="F133" s="56" t="s">
        <v>1102</v>
      </c>
      <c r="G133" s="37" t="s">
        <v>1107</v>
      </c>
      <c r="H133" s="69">
        <f>_xlfn.XLOOKUP(E133,commit_num_files!A$2:A$319,commit_num_files!B$2:B$319)</f>
      </c>
      <c r="I133" s="15">
        <f>_xlfn.XLOOKUP(C133,cve_title!A$2:A$164,cve_title!B$2:B$164)</f>
      </c>
      <c r="J133" s="1"/>
      <c r="K133" s="28" t="s">
        <v>1288</v>
      </c>
      <c r="L133" s="1" t="s">
        <v>1149</v>
      </c>
      <c r="M133" s="1" t="s">
        <v>1289</v>
      </c>
      <c r="N133" s="1" t="s">
        <v>940</v>
      </c>
    </row>
    <row x14ac:dyDescent="0.25" r="134" customHeight="1" ht="18.75">
      <c r="A134" s="1" t="s">
        <v>1287</v>
      </c>
      <c r="B134" s="1" t="s">
        <v>1113</v>
      </c>
      <c r="C134" s="1" t="s">
        <v>116</v>
      </c>
      <c r="D134" s="1" t="s">
        <v>1147</v>
      </c>
      <c r="E134" s="37" t="s">
        <v>608</v>
      </c>
      <c r="F134" s="56" t="s">
        <v>1102</v>
      </c>
      <c r="G134" s="37" t="s">
        <v>1107</v>
      </c>
      <c r="H134" s="7">
        <f>_xlfn.XLOOKUP(E134,commit_num_files!A$2:A$319,commit_num_files!B$2:B$319)</f>
      </c>
      <c r="I134" s="15">
        <f>_xlfn.XLOOKUP(C134,cve_title!A$2:A$164,cve_title!B$2:B$164)</f>
      </c>
      <c r="J134" s="1"/>
      <c r="K134" s="28" t="s">
        <v>1288</v>
      </c>
      <c r="L134" s="1" t="s">
        <v>1149</v>
      </c>
      <c r="M134" s="1" t="s">
        <v>1289</v>
      </c>
      <c r="N134" s="1" t="s">
        <v>944</v>
      </c>
    </row>
    <row x14ac:dyDescent="0.25" r="135" customHeight="1" ht="18.75">
      <c r="A135" s="1" t="s">
        <v>1287</v>
      </c>
      <c r="B135" s="1" t="s">
        <v>1113</v>
      </c>
      <c r="C135" s="1" t="s">
        <v>116</v>
      </c>
      <c r="D135" s="1" t="s">
        <v>1147</v>
      </c>
      <c r="E135" s="37" t="s">
        <v>608</v>
      </c>
      <c r="F135" s="1" t="s">
        <v>1097</v>
      </c>
      <c r="G135" s="37" t="s">
        <v>1106</v>
      </c>
      <c r="H135" s="7">
        <f>_xlfn.XLOOKUP(E135,commit_num_files!A$2:A$319,commit_num_files!B$2:B$319)</f>
      </c>
      <c r="I135" s="15">
        <f>_xlfn.XLOOKUP(C135,cve_title!A$2:A$164,cve_title!B$2:B$164)</f>
      </c>
      <c r="J135" s="1"/>
      <c r="K135" s="28" t="s">
        <v>1288</v>
      </c>
      <c r="L135" s="1" t="s">
        <v>1149</v>
      </c>
      <c r="M135" s="1"/>
      <c r="N135" s="1" t="s">
        <v>944</v>
      </c>
    </row>
    <row x14ac:dyDescent="0.25" r="136" customHeight="1" ht="18.75">
      <c r="A136" s="1" t="s">
        <v>1287</v>
      </c>
      <c r="B136" s="1" t="s">
        <v>1113</v>
      </c>
      <c r="C136" s="1" t="s">
        <v>116</v>
      </c>
      <c r="D136" s="1" t="s">
        <v>1147</v>
      </c>
      <c r="E136" s="37" t="s">
        <v>608</v>
      </c>
      <c r="F136" s="1" t="s">
        <v>1097</v>
      </c>
      <c r="G136" s="37" t="s">
        <v>1107</v>
      </c>
      <c r="H136" s="7">
        <f>_xlfn.XLOOKUP(E136,commit_num_files!A$2:A$319,commit_num_files!B$2:B$319)</f>
      </c>
      <c r="I136" s="15">
        <f>_xlfn.XLOOKUP(C136,cve_title!A$2:A$164,cve_title!B$2:B$164)</f>
      </c>
      <c r="J136" s="1"/>
      <c r="K136" s="28" t="s">
        <v>1288</v>
      </c>
      <c r="L136" s="1" t="s">
        <v>1149</v>
      </c>
      <c r="M136" s="1"/>
      <c r="N136" s="1"/>
    </row>
    <row x14ac:dyDescent="0.25" r="137" customHeight="1" ht="18.75">
      <c r="A137" s="44" t="s">
        <v>1287</v>
      </c>
      <c r="B137" s="44" t="s">
        <v>1113</v>
      </c>
      <c r="C137" s="44" t="s">
        <v>116</v>
      </c>
      <c r="D137" s="44" t="s">
        <v>1147</v>
      </c>
      <c r="E137" s="46" t="s">
        <v>608</v>
      </c>
      <c r="F137" s="44" t="s">
        <v>1103</v>
      </c>
      <c r="G137" s="46" t="s">
        <v>1106</v>
      </c>
      <c r="H137" s="7">
        <f>_xlfn.XLOOKUP(E137,commit_num_files!A$2:A$319,commit_num_files!B$2:B$319)</f>
      </c>
      <c r="I137" s="15">
        <f>_xlfn.XLOOKUP(C137,cve_title!A$2:A$164,cve_title!B$2:B$164)</f>
      </c>
      <c r="J137" s="44"/>
      <c r="K137" s="50" t="s">
        <v>1288</v>
      </c>
      <c r="L137" s="1" t="s">
        <v>1149</v>
      </c>
      <c r="M137" s="44"/>
      <c r="N137" s="44"/>
    </row>
    <row x14ac:dyDescent="0.25" r="138" customHeight="1" ht="18.75">
      <c r="A138" s="1" t="s">
        <v>1290</v>
      </c>
      <c r="B138" s="1" t="s">
        <v>1113</v>
      </c>
      <c r="C138" s="1" t="s">
        <v>118</v>
      </c>
      <c r="D138" s="1" t="s">
        <v>1254</v>
      </c>
      <c r="E138" s="37" t="s">
        <v>575</v>
      </c>
      <c r="F138" s="56" t="s">
        <v>1097</v>
      </c>
      <c r="G138" s="37" t="s">
        <v>1106</v>
      </c>
      <c r="H138" s="41">
        <f>_xlfn.XLOOKUP(E138,commit_num_files!A$2:A$319,commit_num_files!B$2:B$319)</f>
      </c>
      <c r="I138" s="42">
        <f>_xlfn.XLOOKUP(C138,cve_title!A$2:A$164,cve_title!B$2:B$164)</f>
      </c>
      <c r="J138" s="1"/>
      <c r="K138" s="28" t="s">
        <v>1291</v>
      </c>
      <c r="L138" s="22" t="s">
        <v>1149</v>
      </c>
      <c r="M138" s="1"/>
      <c r="N138" s="1"/>
    </row>
    <row x14ac:dyDescent="0.25" r="139" customHeight="1" ht="18.75">
      <c r="A139" s="44" t="s">
        <v>1290</v>
      </c>
      <c r="B139" s="44" t="s">
        <v>1113</v>
      </c>
      <c r="C139" s="44" t="s">
        <v>118</v>
      </c>
      <c r="D139" s="44" t="s">
        <v>1254</v>
      </c>
      <c r="E139" s="46" t="s">
        <v>575</v>
      </c>
      <c r="F139" s="58" t="s">
        <v>1102</v>
      </c>
      <c r="G139" s="46" t="s">
        <v>1107</v>
      </c>
      <c r="H139" s="49">
        <f>_xlfn.XLOOKUP(E139,commit_num_files!A$2:A$319,commit_num_files!B$2:B$319)</f>
      </c>
      <c r="I139" s="27">
        <f>_xlfn.XLOOKUP(C139,cve_title!A$2:A$164,cve_title!B$2:B$164)</f>
      </c>
      <c r="J139" s="44"/>
      <c r="K139" s="44" t="s">
        <v>1291</v>
      </c>
      <c r="L139" s="44" t="s">
        <v>1149</v>
      </c>
      <c r="M139" s="86" t="s">
        <v>1236</v>
      </c>
      <c r="N139" s="44"/>
    </row>
    <row x14ac:dyDescent="0.25" r="140" customHeight="1" ht="18.75">
      <c r="A140" s="56" t="s">
        <v>1292</v>
      </c>
      <c r="B140" s="56" t="s">
        <v>1113</v>
      </c>
      <c r="C140" s="56" t="s">
        <v>120</v>
      </c>
      <c r="D140" s="56" t="s">
        <v>1293</v>
      </c>
      <c r="E140" s="57" t="s">
        <v>576</v>
      </c>
      <c r="F140" s="66" t="s">
        <v>1102</v>
      </c>
      <c r="G140" s="67" t="s">
        <v>1107</v>
      </c>
      <c r="H140" s="73">
        <f>_xlfn.XLOOKUP(E140,commit_num_files!A$2:A$319,commit_num_files!B$2:B$319)</f>
      </c>
      <c r="I140" s="15">
        <f>_xlfn.XLOOKUP(C140,cve_title!A$2:A$164,cve_title!B$2:B$164)</f>
      </c>
      <c r="J140" s="1"/>
      <c r="K140" s="94" t="s">
        <v>1294</v>
      </c>
      <c r="L140" s="56" t="s">
        <v>1149</v>
      </c>
      <c r="M140" s="56" t="s">
        <v>1295</v>
      </c>
      <c r="N140" s="1"/>
    </row>
    <row x14ac:dyDescent="0.25" r="141" customHeight="1" ht="18.75">
      <c r="A141" s="56" t="s">
        <v>1292</v>
      </c>
      <c r="B141" s="56" t="s">
        <v>1113</v>
      </c>
      <c r="C141" s="56" t="s">
        <v>120</v>
      </c>
      <c r="D141" s="56" t="s">
        <v>1293</v>
      </c>
      <c r="E141" s="57" t="s">
        <v>576</v>
      </c>
      <c r="F141" s="56" t="s">
        <v>1097</v>
      </c>
      <c r="G141" s="57" t="s">
        <v>1106</v>
      </c>
      <c r="H141" s="73">
        <f>_xlfn.XLOOKUP(E141,commit_num_files!A$2:A$319,commit_num_files!B$2:B$319)</f>
      </c>
      <c r="I141" s="15">
        <f>_xlfn.XLOOKUP(C141,cve_title!A$2:A$164,cve_title!B$2:B$164)</f>
      </c>
      <c r="J141" s="1"/>
      <c r="K141" s="56" t="s">
        <v>1294</v>
      </c>
      <c r="L141" s="56" t="s">
        <v>1149</v>
      </c>
      <c r="M141" s="1"/>
      <c r="N141" s="1"/>
    </row>
    <row x14ac:dyDescent="0.25" r="142" customHeight="1" ht="18.75">
      <c r="A142" s="71" t="s">
        <v>1296</v>
      </c>
      <c r="B142" s="71" t="s">
        <v>1113</v>
      </c>
      <c r="C142" s="71" t="s">
        <v>122</v>
      </c>
      <c r="D142" s="71" t="s">
        <v>1297</v>
      </c>
      <c r="E142" s="67" t="s">
        <v>510</v>
      </c>
      <c r="F142" s="66" t="s">
        <v>1102</v>
      </c>
      <c r="G142" s="67" t="s">
        <v>1107</v>
      </c>
      <c r="H142" s="72">
        <f>_xlfn.XLOOKUP(E142,commit_num_files!A$2:A$319,commit_num_files!B$2:B$319)</f>
      </c>
      <c r="I142" s="42">
        <f>_xlfn.XLOOKUP(C142,cve_title!A$2:A$164,cve_title!B$2:B$164)</f>
      </c>
      <c r="J142" s="71"/>
      <c r="K142" s="95" t="s">
        <v>1298</v>
      </c>
      <c r="L142" s="71" t="s">
        <v>1149</v>
      </c>
      <c r="M142" s="71"/>
      <c r="N142" s="71"/>
    </row>
    <row x14ac:dyDescent="0.25" r="143" customHeight="1" ht="18.75">
      <c r="A143" s="58" t="s">
        <v>1296</v>
      </c>
      <c r="B143" s="58" t="s">
        <v>1113</v>
      </c>
      <c r="C143" s="56" t="s">
        <v>122</v>
      </c>
      <c r="D143" s="56" t="s">
        <v>1297</v>
      </c>
      <c r="E143" s="59" t="s">
        <v>510</v>
      </c>
      <c r="F143" s="56" t="s">
        <v>1097</v>
      </c>
      <c r="G143" s="57" t="s">
        <v>1106</v>
      </c>
      <c r="H143" s="73">
        <f>_xlfn.XLOOKUP(E143,commit_num_files!A$2:A$319,commit_num_files!B$2:B$319)</f>
      </c>
      <c r="I143" s="15">
        <f>_xlfn.XLOOKUP(C143,cve_title!A$2:A$164,cve_title!B$2:B$164)</f>
      </c>
      <c r="J143" s="1"/>
      <c r="K143" s="56" t="s">
        <v>1298</v>
      </c>
      <c r="L143" s="56" t="s">
        <v>1149</v>
      </c>
      <c r="M143" s="1"/>
      <c r="N143" s="1"/>
    </row>
    <row x14ac:dyDescent="0.25" r="144" customHeight="1" ht="18.75">
      <c r="A144" s="22" t="s">
        <v>1299</v>
      </c>
      <c r="B144" s="22" t="s">
        <v>1113</v>
      </c>
      <c r="C144" s="22" t="s">
        <v>124</v>
      </c>
      <c r="D144" s="22" t="s">
        <v>1297</v>
      </c>
      <c r="E144" s="24" t="s">
        <v>568</v>
      </c>
      <c r="F144" s="71" t="s">
        <v>1097</v>
      </c>
      <c r="G144" s="24" t="s">
        <v>1107</v>
      </c>
      <c r="H144" s="41">
        <f>_xlfn.XLOOKUP(E144,commit_num_files!A$2:A$319,commit_num_files!B$2:B$319)</f>
      </c>
      <c r="I144" s="42">
        <f>_xlfn.XLOOKUP(C144,cve_title!A$2:A$164,cve_title!B$2:B$164)</f>
      </c>
      <c r="J144" s="22"/>
      <c r="K144" s="43" t="s">
        <v>1300</v>
      </c>
      <c r="L144" s="22" t="s">
        <v>1149</v>
      </c>
      <c r="M144" s="22"/>
      <c r="N144" s="22"/>
    </row>
    <row x14ac:dyDescent="0.25" r="145" customHeight="1" ht="18.75">
      <c r="A145" s="22" t="s">
        <v>1301</v>
      </c>
      <c r="B145" s="22" t="s">
        <v>1113</v>
      </c>
      <c r="C145" s="22" t="s">
        <v>128</v>
      </c>
      <c r="D145" s="22" t="s">
        <v>1167</v>
      </c>
      <c r="E145" s="24" t="s">
        <v>581</v>
      </c>
      <c r="F145" s="71" t="s">
        <v>1100</v>
      </c>
      <c r="G145" s="24" t="s">
        <v>1106</v>
      </c>
      <c r="H145" s="34">
        <f>_xlfn.XLOOKUP(E145,commit_num_files!A$2:A$319,commit_num_files!B$2:B$319)</f>
      </c>
      <c r="I145" s="38">
        <f>_xlfn.XLOOKUP(C145,cve_title!A$2:A$164,cve_title!B$2:B$164)</f>
      </c>
      <c r="J145" s="22"/>
      <c r="K145" s="22" t="s">
        <v>1302</v>
      </c>
      <c r="L145" s="22" t="s">
        <v>1149</v>
      </c>
      <c r="M145" s="22"/>
      <c r="N145" s="22"/>
    </row>
    <row x14ac:dyDescent="0.25" r="146" customHeight="1" ht="18.75">
      <c r="A146" s="29" t="s">
        <v>1303</v>
      </c>
      <c r="B146" s="29" t="s">
        <v>1113</v>
      </c>
      <c r="C146" s="29" t="s">
        <v>130</v>
      </c>
      <c r="D146" s="29" t="s">
        <v>1167</v>
      </c>
      <c r="E146" s="31" t="s">
        <v>563</v>
      </c>
      <c r="F146" s="76" t="s">
        <v>1100</v>
      </c>
      <c r="G146" s="31" t="s">
        <v>1106</v>
      </c>
      <c r="H146" s="34">
        <f>_xlfn.XLOOKUP(E146,commit_num_files!A$2:A$319,commit_num_files!B$2:B$319)</f>
      </c>
      <c r="I146" s="27">
        <f>_xlfn.XLOOKUP(C146,cve_title!A$2:A$164,cve_title!B$2:B$164)</f>
      </c>
      <c r="J146" s="29"/>
      <c r="K146" s="29" t="s">
        <v>1304</v>
      </c>
      <c r="L146" s="29" t="s">
        <v>1149</v>
      </c>
      <c r="M146" s="29"/>
      <c r="N146" s="29"/>
    </row>
    <row x14ac:dyDescent="0.25" r="147" customHeight="1" ht="18.75">
      <c r="A147" s="1" t="s">
        <v>1305</v>
      </c>
      <c r="B147" s="1" t="s">
        <v>1113</v>
      </c>
      <c r="C147" s="22" t="s">
        <v>132</v>
      </c>
      <c r="D147" s="22" t="s">
        <v>1297</v>
      </c>
      <c r="E147" s="24" t="s">
        <v>582</v>
      </c>
      <c r="F147" s="56" t="s">
        <v>1097</v>
      </c>
      <c r="G147" s="37" t="s">
        <v>1107</v>
      </c>
      <c r="H147" s="7">
        <f>_xlfn.XLOOKUP(E147,commit_num_files!A$2:A$319,commit_num_files!B$2:B$319)</f>
      </c>
      <c r="I147" s="15">
        <f>_xlfn.XLOOKUP(C147,cve_title!A$2:A$164,cve_title!B$2:B$164)</f>
      </c>
      <c r="J147" s="1"/>
      <c r="K147" s="28" t="s">
        <v>1306</v>
      </c>
      <c r="L147" s="1" t="s">
        <v>1149</v>
      </c>
      <c r="M147" s="1"/>
      <c r="N147" s="1"/>
    </row>
    <row x14ac:dyDescent="0.25" r="148" customHeight="1" ht="18.75">
      <c r="A148" s="1" t="s">
        <v>1305</v>
      </c>
      <c r="B148" s="1" t="s">
        <v>1113</v>
      </c>
      <c r="C148" s="1" t="s">
        <v>132</v>
      </c>
      <c r="D148" s="1" t="s">
        <v>1297</v>
      </c>
      <c r="E148" s="37" t="s">
        <v>582</v>
      </c>
      <c r="F148" s="56" t="s">
        <v>1104</v>
      </c>
      <c r="G148" s="57" t="s">
        <v>1107</v>
      </c>
      <c r="H148" s="7">
        <f>_xlfn.XLOOKUP(E148,commit_num_files!A$2:A$319,commit_num_files!B$2:B$319)</f>
      </c>
      <c r="I148" s="15">
        <f>_xlfn.XLOOKUP(C148,cve_title!A$2:A$164,cve_title!B$2:B$164)</f>
      </c>
      <c r="J148" s="1"/>
      <c r="K148" s="1" t="s">
        <v>1306</v>
      </c>
      <c r="L148" s="1" t="s">
        <v>1149</v>
      </c>
      <c r="M148" s="1" t="s">
        <v>1307</v>
      </c>
      <c r="N148" s="1"/>
    </row>
    <row x14ac:dyDescent="0.25" r="149" customHeight="1" ht="18.75">
      <c r="A149" s="22" t="s">
        <v>1308</v>
      </c>
      <c r="B149" s="22" t="s">
        <v>1113</v>
      </c>
      <c r="C149" s="22" t="s">
        <v>134</v>
      </c>
      <c r="D149" s="22" t="s">
        <v>1254</v>
      </c>
      <c r="E149" s="24" t="s">
        <v>534</v>
      </c>
      <c r="F149" s="71" t="s">
        <v>1104</v>
      </c>
      <c r="G149" s="24" t="s">
        <v>1107</v>
      </c>
      <c r="H149" s="41">
        <f>_xlfn.XLOOKUP(E149,commit_num_files!A$2:A$319,commit_num_files!B$2:B$319)</f>
      </c>
      <c r="I149" s="42">
        <f>_xlfn.XLOOKUP(C149,cve_title!A$2:A$164,cve_title!B$2:B$164)</f>
      </c>
      <c r="J149" s="22"/>
      <c r="K149" s="43" t="s">
        <v>1309</v>
      </c>
      <c r="L149" s="22" t="s">
        <v>1149</v>
      </c>
      <c r="M149" s="22" t="s">
        <v>1310</v>
      </c>
      <c r="N149" s="22"/>
    </row>
    <row x14ac:dyDescent="0.25" r="150" customHeight="1" ht="18.75">
      <c r="A150" s="1" t="s">
        <v>1308</v>
      </c>
      <c r="B150" s="1" t="s">
        <v>1113</v>
      </c>
      <c r="C150" s="1" t="s">
        <v>134</v>
      </c>
      <c r="D150" s="1" t="s">
        <v>1254</v>
      </c>
      <c r="E150" s="37" t="s">
        <v>534</v>
      </c>
      <c r="F150" s="56" t="s">
        <v>1100</v>
      </c>
      <c r="G150" s="37" t="s">
        <v>1106</v>
      </c>
      <c r="H150" s="7">
        <f>_xlfn.XLOOKUP(E150,commit_num_files!A$2:A$319,commit_num_files!B$2:B$319)</f>
      </c>
      <c r="I150" s="15">
        <f>_xlfn.XLOOKUP(C150,cve_title!A$2:A$164,cve_title!B$2:B$164)</f>
      </c>
      <c r="J150" s="1"/>
      <c r="K150" s="1" t="s">
        <v>1309</v>
      </c>
      <c r="L150" s="1" t="s">
        <v>1149</v>
      </c>
      <c r="M150" s="1"/>
      <c r="N150" s="1"/>
    </row>
    <row x14ac:dyDescent="0.25" r="151" customHeight="1" ht="18.75">
      <c r="A151" s="22" t="s">
        <v>1311</v>
      </c>
      <c r="B151" s="22" t="s">
        <v>1113</v>
      </c>
      <c r="C151" s="22" t="s">
        <v>136</v>
      </c>
      <c r="D151" s="22" t="s">
        <v>1297</v>
      </c>
      <c r="E151" s="24" t="s">
        <v>564</v>
      </c>
      <c r="F151" s="71" t="s">
        <v>1100</v>
      </c>
      <c r="G151" s="24" t="s">
        <v>1107</v>
      </c>
      <c r="H151" s="34">
        <f>_xlfn.XLOOKUP(E151,commit_num_files!A$2:A$319,commit_num_files!B$2:B$319)</f>
      </c>
      <c r="I151" s="38">
        <f>_xlfn.XLOOKUP(C151,cve_title!A$2:A$164,cve_title!B$2:B$164)</f>
      </c>
      <c r="J151" s="22"/>
      <c r="K151" s="22" t="s">
        <v>1312</v>
      </c>
      <c r="L151" s="22" t="s">
        <v>1149</v>
      </c>
      <c r="M151" s="22"/>
      <c r="N151" s="22"/>
    </row>
    <row x14ac:dyDescent="0.25" r="152" customHeight="1" ht="18.75">
      <c r="A152" s="22" t="s">
        <v>1313</v>
      </c>
      <c r="B152" s="22" t="s">
        <v>1113</v>
      </c>
      <c r="C152" s="22" t="s">
        <v>138</v>
      </c>
      <c r="D152" s="22" t="s">
        <v>1297</v>
      </c>
      <c r="E152" s="24" t="s">
        <v>502</v>
      </c>
      <c r="F152" s="71" t="s">
        <v>1100</v>
      </c>
      <c r="G152" s="24" t="s">
        <v>1106</v>
      </c>
      <c r="H152" s="34">
        <f>_xlfn.XLOOKUP(E152,commit_num_files!A$2:A$319,commit_num_files!B$2:B$319)</f>
      </c>
      <c r="I152" s="15">
        <f>_xlfn.XLOOKUP(C152,cve_title!A$2:A$164,cve_title!B$2:B$164)</f>
      </c>
      <c r="J152" s="22"/>
      <c r="K152" s="22" t="s">
        <v>1314</v>
      </c>
      <c r="L152" s="22" t="s">
        <v>1149</v>
      </c>
      <c r="M152" s="22"/>
      <c r="N152" s="22"/>
    </row>
    <row x14ac:dyDescent="0.25" r="153" customHeight="1" ht="18.75">
      <c r="A153" s="22" t="s">
        <v>1315</v>
      </c>
      <c r="B153" s="22" t="s">
        <v>1113</v>
      </c>
      <c r="C153" s="22" t="s">
        <v>140</v>
      </c>
      <c r="D153" s="22" t="s">
        <v>1316</v>
      </c>
      <c r="E153" s="24" t="s">
        <v>499</v>
      </c>
      <c r="F153" s="71" t="s">
        <v>1100</v>
      </c>
      <c r="G153" s="24" t="s">
        <v>1107</v>
      </c>
      <c r="H153" s="7">
        <f>_xlfn.XLOOKUP(E153,commit_num_files!A$2:A$319,commit_num_files!B$2:B$319)</f>
      </c>
      <c r="I153" s="38">
        <f>_xlfn.XLOOKUP(C153,cve_title!A$2:A$164,cve_title!B$2:B$164)</f>
      </c>
      <c r="J153" s="22"/>
      <c r="K153" s="22" t="s">
        <v>1317</v>
      </c>
      <c r="L153" s="22" t="s">
        <v>1149</v>
      </c>
      <c r="M153" s="22" t="s">
        <v>1318</v>
      </c>
      <c r="N153" s="22"/>
    </row>
    <row x14ac:dyDescent="0.25" r="154" customHeight="1" ht="18.75">
      <c r="A154" s="29" t="s">
        <v>1319</v>
      </c>
      <c r="B154" s="29" t="s">
        <v>1113</v>
      </c>
      <c r="C154" s="29" t="s">
        <v>142</v>
      </c>
      <c r="D154" s="29" t="s">
        <v>1254</v>
      </c>
      <c r="E154" s="31" t="s">
        <v>535</v>
      </c>
      <c r="F154" s="76" t="s">
        <v>1104</v>
      </c>
      <c r="G154" s="31" t="s">
        <v>1107</v>
      </c>
      <c r="H154" s="34">
        <f>_xlfn.XLOOKUP(E154,commit_num_files!A$2:A$319,commit_num_files!B$2:B$319)</f>
      </c>
      <c r="I154" s="38">
        <f>_xlfn.XLOOKUP(C154,cve_title!A$2:A$164,cve_title!B$2:B$164)</f>
      </c>
      <c r="J154" s="29"/>
      <c r="K154" s="29" t="s">
        <v>1320</v>
      </c>
      <c r="L154" s="29" t="s">
        <v>1149</v>
      </c>
      <c r="M154" s="29"/>
      <c r="N154" s="29"/>
    </row>
    <row x14ac:dyDescent="0.25" r="155" customHeight="1" ht="18.75">
      <c r="A155" s="44" t="s">
        <v>1321</v>
      </c>
      <c r="B155" s="1" t="s">
        <v>1113</v>
      </c>
      <c r="C155" s="1" t="s">
        <v>144</v>
      </c>
      <c r="D155" s="1" t="s">
        <v>1167</v>
      </c>
      <c r="E155" s="37" t="s">
        <v>548</v>
      </c>
      <c r="F155" s="56" t="s">
        <v>1104</v>
      </c>
      <c r="G155" s="37" t="s">
        <v>1107</v>
      </c>
      <c r="H155" s="34">
        <f>_xlfn.XLOOKUP(E155,commit_num_files!A$2:A$319,commit_num_files!B$2:B$319)</f>
      </c>
      <c r="I155" s="15">
        <f>_xlfn.XLOOKUP(C155,cve_title!A$2:A$164,cve_title!B$2:B$164)</f>
      </c>
      <c r="J155" s="1"/>
      <c r="K155" s="28" t="s">
        <v>1322</v>
      </c>
      <c r="L155" s="1" t="s">
        <v>1149</v>
      </c>
      <c r="M155" s="1"/>
      <c r="N155" s="1"/>
    </row>
    <row x14ac:dyDescent="0.25" r="156" customHeight="1" ht="18.75">
      <c r="A156" s="22" t="s">
        <v>1323</v>
      </c>
      <c r="B156" s="22" t="s">
        <v>1113</v>
      </c>
      <c r="C156" s="22" t="s">
        <v>146</v>
      </c>
      <c r="D156" s="22" t="s">
        <v>1254</v>
      </c>
      <c r="E156" s="24" t="s">
        <v>594</v>
      </c>
      <c r="F156" s="71" t="s">
        <v>1097</v>
      </c>
      <c r="G156" s="24" t="s">
        <v>1107</v>
      </c>
      <c r="H156" s="34">
        <f>_xlfn.XLOOKUP(E156,commit_num_files!A$2:A$319,commit_num_files!B$2:B$319)</f>
      </c>
      <c r="I156" s="38">
        <f>_xlfn.XLOOKUP(C156,cve_title!A$2:A$164,cve_title!B$2:B$164)</f>
      </c>
      <c r="J156" s="22"/>
      <c r="K156" s="22" t="s">
        <v>1324</v>
      </c>
      <c r="L156" s="22" t="s">
        <v>1149</v>
      </c>
      <c r="M156" s="22"/>
      <c r="N156" s="22" t="s">
        <v>941</v>
      </c>
    </row>
    <row x14ac:dyDescent="0.25" r="157" customHeight="1" ht="18.75">
      <c r="A157" s="29" t="s">
        <v>1325</v>
      </c>
      <c r="B157" s="29" t="s">
        <v>1113</v>
      </c>
      <c r="C157" s="29" t="s">
        <v>148</v>
      </c>
      <c r="D157" s="29" t="s">
        <v>1234</v>
      </c>
      <c r="E157" s="31" t="s">
        <v>516</v>
      </c>
      <c r="F157" s="76" t="s">
        <v>1097</v>
      </c>
      <c r="G157" s="31" t="s">
        <v>1107</v>
      </c>
      <c r="H157" s="7">
        <f>_xlfn.XLOOKUP(E157,commit_num_files!A$2:A$319,commit_num_files!B$2:B$319)</f>
      </c>
      <c r="I157" s="38">
        <f>_xlfn.XLOOKUP(C157,cve_title!A$2:A$164,cve_title!B$2:B$164)</f>
      </c>
      <c r="J157" s="29"/>
      <c r="K157" s="29" t="s">
        <v>1326</v>
      </c>
      <c r="L157" s="29" t="s">
        <v>1149</v>
      </c>
      <c r="M157" s="29"/>
      <c r="N157" s="29"/>
    </row>
    <row x14ac:dyDescent="0.25" r="158" customHeight="1" ht="18.75">
      <c r="A158" s="22" t="s">
        <v>1327</v>
      </c>
      <c r="B158" s="22" t="s">
        <v>1113</v>
      </c>
      <c r="C158" s="22" t="s">
        <v>150</v>
      </c>
      <c r="D158" s="22" t="s">
        <v>1293</v>
      </c>
      <c r="E158" s="24" t="s">
        <v>524</v>
      </c>
      <c r="F158" s="71" t="s">
        <v>1100</v>
      </c>
      <c r="G158" s="24" t="s">
        <v>1106</v>
      </c>
      <c r="H158" s="34">
        <f>_xlfn.XLOOKUP(E158,commit_num_files!A$2:A$319,commit_num_files!B$2:B$319)</f>
      </c>
      <c r="I158" s="15">
        <f>_xlfn.XLOOKUP(C158,cve_title!A$2:A$164,cve_title!B$2:B$164)</f>
      </c>
      <c r="J158" s="22"/>
      <c r="K158" s="22" t="s">
        <v>1328</v>
      </c>
      <c r="L158" s="22" t="s">
        <v>1149</v>
      </c>
      <c r="M158" s="22"/>
      <c r="N158" s="22"/>
    </row>
    <row x14ac:dyDescent="0.25" r="159" customHeight="1" ht="18.75">
      <c r="A159" s="22" t="s">
        <v>1329</v>
      </c>
      <c r="B159" s="22" t="s">
        <v>1113</v>
      </c>
      <c r="C159" s="22" t="s">
        <v>152</v>
      </c>
      <c r="D159" s="22" t="s">
        <v>1293</v>
      </c>
      <c r="E159" s="24" t="s">
        <v>583</v>
      </c>
      <c r="F159" s="71" t="s">
        <v>1100</v>
      </c>
      <c r="G159" s="24" t="s">
        <v>1106</v>
      </c>
      <c r="H159" s="34">
        <f>_xlfn.XLOOKUP(E159,commit_num_files!A$2:A$319,commit_num_files!B$2:B$319)</f>
      </c>
      <c r="I159" s="38">
        <f>_xlfn.XLOOKUP(C159,cve_title!A$2:A$164,cve_title!B$2:B$164)</f>
      </c>
      <c r="J159" s="22"/>
      <c r="K159" s="22" t="s">
        <v>1330</v>
      </c>
      <c r="L159" s="22" t="s">
        <v>1149</v>
      </c>
      <c r="M159" s="22"/>
      <c r="N159" s="22"/>
    </row>
    <row x14ac:dyDescent="0.25" r="160" customHeight="1" ht="18.75">
      <c r="A160" s="22" t="s">
        <v>1331</v>
      </c>
      <c r="B160" s="22" t="s">
        <v>1113</v>
      </c>
      <c r="C160" s="22" t="s">
        <v>154</v>
      </c>
      <c r="D160" s="22" t="s">
        <v>1293</v>
      </c>
      <c r="E160" s="24" t="s">
        <v>528</v>
      </c>
      <c r="F160" s="71" t="s">
        <v>1097</v>
      </c>
      <c r="G160" s="24" t="s">
        <v>1106</v>
      </c>
      <c r="H160" s="34">
        <f>_xlfn.XLOOKUP(E160,commit_num_files!A$2:A$319,commit_num_files!B$2:B$319)</f>
      </c>
      <c r="I160" s="15">
        <f>_xlfn.XLOOKUP(C160,cve_title!A$2:A$164,cve_title!B$2:B$164)</f>
      </c>
      <c r="J160" s="22"/>
      <c r="K160" s="43" t="s">
        <v>1332</v>
      </c>
      <c r="L160" s="22" t="s">
        <v>1149</v>
      </c>
      <c r="M160" s="22"/>
      <c r="N160" s="22"/>
    </row>
    <row x14ac:dyDescent="0.25" r="161" customHeight="1" ht="18.75">
      <c r="A161" s="22" t="s">
        <v>1333</v>
      </c>
      <c r="B161" s="22" t="s">
        <v>1113</v>
      </c>
      <c r="C161" s="22" t="s">
        <v>156</v>
      </c>
      <c r="D161" s="22" t="s">
        <v>1254</v>
      </c>
      <c r="E161" s="24" t="s">
        <v>519</v>
      </c>
      <c r="F161" s="71" t="s">
        <v>1102</v>
      </c>
      <c r="G161" s="24" t="s">
        <v>1107</v>
      </c>
      <c r="H161" s="34">
        <f>_xlfn.XLOOKUP(E161,commit_num_files!A$2:A$319,commit_num_files!B$2:B$319)</f>
      </c>
      <c r="I161" s="38">
        <f>_xlfn.XLOOKUP(C161,cve_title!A$2:A$164,cve_title!B$2:B$164)</f>
      </c>
      <c r="J161" s="22"/>
      <c r="K161" s="22" t="s">
        <v>1334</v>
      </c>
      <c r="L161" s="22" t="s">
        <v>1149</v>
      </c>
      <c r="M161" s="22"/>
      <c r="N161" s="22"/>
    </row>
    <row x14ac:dyDescent="0.25" r="162" customHeight="1" ht="18.75">
      <c r="A162" s="29" t="s">
        <v>1335</v>
      </c>
      <c r="B162" s="29" t="s">
        <v>1113</v>
      </c>
      <c r="C162" s="29" t="s">
        <v>158</v>
      </c>
      <c r="D162" s="29" t="s">
        <v>1254</v>
      </c>
      <c r="E162" s="31" t="s">
        <v>501</v>
      </c>
      <c r="F162" s="76" t="s">
        <v>1104</v>
      </c>
      <c r="G162" s="31" t="s">
        <v>1107</v>
      </c>
      <c r="H162" s="7">
        <f>_xlfn.XLOOKUP(E162,commit_num_files!A$2:A$319,commit_num_files!B$2:B$319)</f>
      </c>
      <c r="I162" s="15">
        <f>_xlfn.XLOOKUP(C162,cve_title!A$2:A$164,cve_title!B$2:B$164)</f>
      </c>
      <c r="J162" s="29"/>
      <c r="K162" s="35" t="s">
        <v>1336</v>
      </c>
      <c r="L162" s="29" t="s">
        <v>1149</v>
      </c>
      <c r="M162" s="29"/>
      <c r="N162" s="29"/>
    </row>
    <row x14ac:dyDescent="0.25" r="163" customHeight="1" ht="18.75">
      <c r="A163" s="44" t="s">
        <v>1337</v>
      </c>
      <c r="B163" s="44" t="s">
        <v>1113</v>
      </c>
      <c r="C163" s="44" t="s">
        <v>160</v>
      </c>
      <c r="D163" s="44" t="s">
        <v>1316</v>
      </c>
      <c r="E163" s="46" t="s">
        <v>513</v>
      </c>
      <c r="F163" s="58" t="s">
        <v>1100</v>
      </c>
      <c r="G163" s="46" t="s">
        <v>1107</v>
      </c>
      <c r="H163" s="34">
        <f>_xlfn.XLOOKUP(E163,commit_num_files!A$2:A$319,commit_num_files!B$2:B$319)</f>
      </c>
      <c r="I163" s="38">
        <f>_xlfn.XLOOKUP(C163,cve_title!A$2:A$164,cve_title!B$2:B$164)</f>
      </c>
      <c r="J163" s="44"/>
      <c r="K163" s="44" t="s">
        <v>1338</v>
      </c>
      <c r="L163" s="44" t="s">
        <v>1149</v>
      </c>
      <c r="M163" s="44"/>
      <c r="N163" s="44"/>
    </row>
    <row x14ac:dyDescent="0.25" r="164" customHeight="1" ht="18.75">
      <c r="A164" s="44" t="s">
        <v>1339</v>
      </c>
      <c r="B164" s="44" t="s">
        <v>1113</v>
      </c>
      <c r="C164" s="44" t="s">
        <v>162</v>
      </c>
      <c r="D164" s="44" t="s">
        <v>1297</v>
      </c>
      <c r="E164" s="46" t="s">
        <v>512</v>
      </c>
      <c r="F164" s="58" t="s">
        <v>1100</v>
      </c>
      <c r="G164" s="46" t="s">
        <v>1107</v>
      </c>
      <c r="H164" s="49">
        <f>_xlfn.XLOOKUP(E164,commit_num_files!A$2:A$319,commit_num_files!B$2:B$319)</f>
      </c>
      <c r="I164" s="38">
        <f>_xlfn.XLOOKUP(C164,cve_title!A$2:A$164,cve_title!B$2:B$164)</f>
      </c>
      <c r="J164" s="44"/>
      <c r="K164" s="44" t="s">
        <v>1340</v>
      </c>
      <c r="L164" s="44" t="s">
        <v>1149</v>
      </c>
      <c r="M164" s="44"/>
      <c r="N164" s="44"/>
    </row>
    <row x14ac:dyDescent="0.25" r="165" customHeight="1" ht="18.75">
      <c r="A165" s="1" t="s">
        <v>1341</v>
      </c>
      <c r="B165" s="1" t="s">
        <v>1113</v>
      </c>
      <c r="C165" s="1" t="s">
        <v>164</v>
      </c>
      <c r="D165" s="2" t="s">
        <v>1167</v>
      </c>
      <c r="E165" s="37" t="s">
        <v>605</v>
      </c>
      <c r="F165" s="56" t="s">
        <v>1102</v>
      </c>
      <c r="G165" s="37" t="s">
        <v>1107</v>
      </c>
      <c r="H165" s="7">
        <f>_xlfn.XLOOKUP(E165,commit_num_files!A$2:A$319,commit_num_files!B$2:B$319)</f>
      </c>
      <c r="I165" s="42">
        <f>_xlfn.XLOOKUP(C165,cve_title!A$2:A$164,cve_title!B$2:B$164)</f>
      </c>
      <c r="J165" s="1"/>
      <c r="K165" s="1" t="s">
        <v>1342</v>
      </c>
      <c r="L165" s="1" t="s">
        <v>1149</v>
      </c>
      <c r="M165" s="85" t="s">
        <v>1236</v>
      </c>
      <c r="N165" s="1" t="s">
        <v>934</v>
      </c>
    </row>
    <row x14ac:dyDescent="0.25" r="166" customHeight="1" ht="18.75">
      <c r="A166" s="1" t="s">
        <v>1341</v>
      </c>
      <c r="B166" s="1" t="s">
        <v>1113</v>
      </c>
      <c r="C166" s="1" t="s">
        <v>164</v>
      </c>
      <c r="D166" s="2" t="s">
        <v>1167</v>
      </c>
      <c r="E166" s="37" t="s">
        <v>605</v>
      </c>
      <c r="F166" s="56" t="s">
        <v>1102</v>
      </c>
      <c r="G166" s="37" t="s">
        <v>1107</v>
      </c>
      <c r="H166" s="7">
        <f>_xlfn.XLOOKUP(E166,commit_num_files!A$2:A$319,commit_num_files!B$2:B$319)</f>
      </c>
      <c r="I166" s="15">
        <f>_xlfn.XLOOKUP(C166,cve_title!A$2:A$164,cve_title!B$2:B$164)</f>
      </c>
      <c r="J166" s="1"/>
      <c r="K166" s="1" t="s">
        <v>1342</v>
      </c>
      <c r="L166" s="1" t="s">
        <v>1149</v>
      </c>
      <c r="M166" s="85" t="s">
        <v>1236</v>
      </c>
      <c r="N166" s="1" t="s">
        <v>935</v>
      </c>
    </row>
    <row x14ac:dyDescent="0.25" r="167" customHeight="1" ht="18.75">
      <c r="A167" s="1" t="s">
        <v>1341</v>
      </c>
      <c r="B167" s="1" t="s">
        <v>1113</v>
      </c>
      <c r="C167" s="1" t="s">
        <v>164</v>
      </c>
      <c r="D167" s="2" t="s">
        <v>1167</v>
      </c>
      <c r="E167" s="37" t="s">
        <v>605</v>
      </c>
      <c r="F167" s="56" t="s">
        <v>1102</v>
      </c>
      <c r="G167" s="37" t="s">
        <v>1107</v>
      </c>
      <c r="H167" s="7">
        <f>_xlfn.XLOOKUP(E167,commit_num_files!A$2:A$319,commit_num_files!B$2:B$319)</f>
      </c>
      <c r="I167" s="15">
        <f>_xlfn.XLOOKUP(C167,cve_title!A$2:A$164,cve_title!B$2:B$164)</f>
      </c>
      <c r="J167" s="1"/>
      <c r="K167" s="1" t="s">
        <v>1342</v>
      </c>
      <c r="L167" s="1" t="s">
        <v>1149</v>
      </c>
      <c r="M167" s="85" t="s">
        <v>1236</v>
      </c>
      <c r="N167" s="1" t="s">
        <v>936</v>
      </c>
    </row>
    <row x14ac:dyDescent="0.25" r="168" customHeight="1" ht="18.75">
      <c r="A168" s="44" t="s">
        <v>1341</v>
      </c>
      <c r="B168" s="44" t="s">
        <v>1113</v>
      </c>
      <c r="C168" s="44" t="s">
        <v>164</v>
      </c>
      <c r="D168" s="44" t="s">
        <v>1167</v>
      </c>
      <c r="E168" s="46" t="s">
        <v>605</v>
      </c>
      <c r="F168" s="58" t="s">
        <v>1102</v>
      </c>
      <c r="G168" s="46" t="s">
        <v>1107</v>
      </c>
      <c r="H168" s="49">
        <f>_xlfn.XLOOKUP(E168,commit_num_files!A$2:A$319,commit_num_files!B$2:B$319)</f>
      </c>
      <c r="I168" s="15">
        <f>_xlfn.XLOOKUP(C168,cve_title!A$2:A$164,cve_title!B$2:B$164)</f>
      </c>
      <c r="J168" s="44"/>
      <c r="K168" s="44" t="s">
        <v>1342</v>
      </c>
      <c r="L168" s="44" t="s">
        <v>1149</v>
      </c>
      <c r="M168" s="86" t="s">
        <v>1236</v>
      </c>
      <c r="N168" s="44" t="s">
        <v>937</v>
      </c>
    </row>
    <row x14ac:dyDescent="0.25" r="169" customHeight="1" ht="18.75">
      <c r="A169" s="1" t="s">
        <v>1343</v>
      </c>
      <c r="B169" s="1" t="s">
        <v>1113</v>
      </c>
      <c r="C169" s="1" t="s">
        <v>166</v>
      </c>
      <c r="D169" s="1" t="s">
        <v>1293</v>
      </c>
      <c r="E169" s="37" t="s">
        <v>511</v>
      </c>
      <c r="F169" s="56" t="s">
        <v>1097</v>
      </c>
      <c r="G169" s="57" t="s">
        <v>1107</v>
      </c>
      <c r="H169" s="7">
        <f>_xlfn.XLOOKUP(E169,commit_num_files!A$2:A$319,commit_num_files!B$2:B$319)</f>
      </c>
      <c r="I169" s="42">
        <f>_xlfn.XLOOKUP(C169,cve_title!A$2:A$164,cve_title!B$2:B$164)</f>
      </c>
      <c r="J169" s="1"/>
      <c r="K169" s="28" t="s">
        <v>1344</v>
      </c>
      <c r="L169" s="1" t="s">
        <v>1149</v>
      </c>
      <c r="M169" s="1" t="s">
        <v>1345</v>
      </c>
      <c r="N169" s="1"/>
    </row>
    <row x14ac:dyDescent="0.25" r="170" customHeight="1" ht="18.75">
      <c r="A170" s="1" t="s">
        <v>1343</v>
      </c>
      <c r="B170" s="1" t="s">
        <v>1113</v>
      </c>
      <c r="C170" s="1" t="s">
        <v>166</v>
      </c>
      <c r="D170" s="1" t="s">
        <v>1293</v>
      </c>
      <c r="E170" s="37" t="s">
        <v>511</v>
      </c>
      <c r="F170" s="56" t="s">
        <v>1100</v>
      </c>
      <c r="G170" s="37" t="s">
        <v>1107</v>
      </c>
      <c r="H170" s="7">
        <f>_xlfn.XLOOKUP(E170,commit_num_files!A$2:A$319,commit_num_files!B$2:B$319)</f>
      </c>
      <c r="I170" s="15">
        <f>_xlfn.XLOOKUP(C170,cve_title!A$2:A$164,cve_title!B$2:B$164)</f>
      </c>
      <c r="J170" s="1"/>
      <c r="K170" s="1" t="s">
        <v>1344</v>
      </c>
      <c r="L170" s="1" t="s">
        <v>1149</v>
      </c>
      <c r="M170" s="1"/>
      <c r="N170" s="1"/>
    </row>
    <row x14ac:dyDescent="0.25" r="171" customHeight="1" ht="18.75">
      <c r="A171" s="29" t="s">
        <v>1346</v>
      </c>
      <c r="B171" s="29" t="s">
        <v>1113</v>
      </c>
      <c r="C171" s="29" t="s">
        <v>168</v>
      </c>
      <c r="D171" s="29" t="s">
        <v>1147</v>
      </c>
      <c r="E171" s="31" t="s">
        <v>517</v>
      </c>
      <c r="F171" s="76" t="s">
        <v>1097</v>
      </c>
      <c r="G171" s="31" t="s">
        <v>1107</v>
      </c>
      <c r="H171" s="34">
        <f>_xlfn.XLOOKUP(E171,commit_num_files!A$2:A$319,commit_num_files!B$2:B$319)</f>
      </c>
      <c r="I171" s="38">
        <f>_xlfn.XLOOKUP(C171,cve_title!A$2:A$164,cve_title!B$2:B$164)</f>
      </c>
      <c r="J171" s="29"/>
      <c r="K171" s="29" t="s">
        <v>1347</v>
      </c>
      <c r="L171" s="29" t="s">
        <v>1149</v>
      </c>
      <c r="M171" s="29"/>
      <c r="N171" s="29"/>
    </row>
    <row x14ac:dyDescent="0.25" r="172" customHeight="1" ht="18.75">
      <c r="A172" s="1" t="s">
        <v>1348</v>
      </c>
      <c r="B172" s="1" t="s">
        <v>1113</v>
      </c>
      <c r="C172" s="1" t="s">
        <v>170</v>
      </c>
      <c r="D172" s="1" t="s">
        <v>1234</v>
      </c>
      <c r="E172" s="37" t="s">
        <v>609</v>
      </c>
      <c r="F172" s="56" t="s">
        <v>1103</v>
      </c>
      <c r="G172" s="37" t="s">
        <v>1106</v>
      </c>
      <c r="H172" s="34">
        <f>_xlfn.XLOOKUP(E172,commit_num_files!A$2:A$319,commit_num_files!B$2:B$319)</f>
      </c>
      <c r="I172" s="27">
        <f>_xlfn.XLOOKUP(C172,cve_title!A$2:A$164,cve_title!B$2:B$164)</f>
      </c>
      <c r="J172" s="1"/>
      <c r="K172" s="28" t="s">
        <v>1349</v>
      </c>
      <c r="L172" s="1" t="s">
        <v>1149</v>
      </c>
      <c r="M172" s="1" t="s">
        <v>1350</v>
      </c>
      <c r="N172" s="1" t="s">
        <v>1043</v>
      </c>
    </row>
    <row x14ac:dyDescent="0.25" r="173" customHeight="1" ht="18.75">
      <c r="A173" s="29" t="s">
        <v>1351</v>
      </c>
      <c r="B173" s="29" t="s">
        <v>1113</v>
      </c>
      <c r="C173" s="29" t="s">
        <v>172</v>
      </c>
      <c r="D173" s="29" t="s">
        <v>1254</v>
      </c>
      <c r="E173" s="31" t="s">
        <v>579</v>
      </c>
      <c r="F173" s="76" t="s">
        <v>1102</v>
      </c>
      <c r="G173" s="31" t="s">
        <v>1107</v>
      </c>
      <c r="H173" s="34">
        <f>_xlfn.XLOOKUP(E173,commit_num_files!A$2:A$319,commit_num_files!B$2:B$319)</f>
      </c>
      <c r="I173" s="27">
        <f>_xlfn.XLOOKUP(C173,cve_title!A$2:A$164,cve_title!B$2:B$164)</f>
      </c>
      <c r="J173" s="29"/>
      <c r="K173" s="35" t="s">
        <v>1352</v>
      </c>
      <c r="L173" s="29" t="s">
        <v>1149</v>
      </c>
      <c r="M173" s="29"/>
      <c r="N173" s="29"/>
    </row>
    <row x14ac:dyDescent="0.25" r="174" customHeight="1" ht="18.75">
      <c r="A174" s="1" t="s">
        <v>1353</v>
      </c>
      <c r="B174" s="1" t="s">
        <v>1113</v>
      </c>
      <c r="C174" s="1" t="s">
        <v>174</v>
      </c>
      <c r="D174" s="1" t="s">
        <v>1234</v>
      </c>
      <c r="E174" s="37" t="s">
        <v>507</v>
      </c>
      <c r="F174" s="56" t="s">
        <v>1102</v>
      </c>
      <c r="G174" s="37" t="s">
        <v>1107</v>
      </c>
      <c r="H174" s="41">
        <f>_xlfn.XLOOKUP(E174,commit_num_files!A$2:A$319,commit_num_files!B$2:B$319)</f>
      </c>
      <c r="I174" s="15">
        <f>_xlfn.XLOOKUP(C174,cve_title!A$2:A$164,cve_title!B$2:B$164)</f>
      </c>
      <c r="J174" s="1"/>
      <c r="K174" s="28" t="s">
        <v>1354</v>
      </c>
      <c r="L174" s="1" t="s">
        <v>1149</v>
      </c>
      <c r="M174" s="1" t="s">
        <v>1355</v>
      </c>
      <c r="N174" s="1"/>
    </row>
    <row x14ac:dyDescent="0.25" r="175" customHeight="1" ht="18.75">
      <c r="A175" s="1" t="s">
        <v>1353</v>
      </c>
      <c r="B175" s="1" t="s">
        <v>1113</v>
      </c>
      <c r="C175" s="1" t="s">
        <v>174</v>
      </c>
      <c r="D175" s="1" t="s">
        <v>1234</v>
      </c>
      <c r="E175" s="37" t="s">
        <v>507</v>
      </c>
      <c r="F175" s="56" t="s">
        <v>1097</v>
      </c>
      <c r="G175" s="37" t="s">
        <v>1107</v>
      </c>
      <c r="H175" s="7">
        <f>_xlfn.XLOOKUP(E175,commit_num_files!A$2:A$319,commit_num_files!B$2:B$319)</f>
      </c>
      <c r="I175" s="15">
        <f>_xlfn.XLOOKUP(C175,cve_title!A$2:A$164,cve_title!B$2:B$164)</f>
      </c>
      <c r="J175" s="1"/>
      <c r="K175" s="1" t="s">
        <v>1354</v>
      </c>
      <c r="L175" s="44" t="s">
        <v>1149</v>
      </c>
      <c r="M175" s="1"/>
      <c r="N175" s="1"/>
    </row>
    <row x14ac:dyDescent="0.25" r="176" customHeight="1" ht="18.75">
      <c r="A176" s="29" t="s">
        <v>1356</v>
      </c>
      <c r="B176" s="29" t="s">
        <v>1113</v>
      </c>
      <c r="C176" s="29" t="s">
        <v>176</v>
      </c>
      <c r="D176" s="29" t="s">
        <v>1167</v>
      </c>
      <c r="E176" s="31" t="s">
        <v>496</v>
      </c>
      <c r="F176" s="76" t="s">
        <v>1097</v>
      </c>
      <c r="G176" s="31" t="s">
        <v>1107</v>
      </c>
      <c r="H176" s="34">
        <f>_xlfn.XLOOKUP(E176,commit_num_files!A$2:A$319,commit_num_files!B$2:B$319)</f>
      </c>
      <c r="I176" s="38">
        <f>_xlfn.XLOOKUP(C176,cve_title!A$2:A$164,cve_title!B$2:B$164)</f>
      </c>
      <c r="J176" s="29"/>
      <c r="K176" s="29" t="s">
        <v>1357</v>
      </c>
      <c r="L176" s="44" t="s">
        <v>1149</v>
      </c>
      <c r="M176" s="29" t="s">
        <v>1358</v>
      </c>
      <c r="N176" s="29"/>
    </row>
    <row x14ac:dyDescent="0.25" r="177" customHeight="1" ht="18.75">
      <c r="A177" s="44" t="s">
        <v>1359</v>
      </c>
      <c r="B177" s="44" t="s">
        <v>1113</v>
      </c>
      <c r="C177" s="44" t="s">
        <v>178</v>
      </c>
      <c r="D177" s="44" t="s">
        <v>1360</v>
      </c>
      <c r="E177" s="46" t="s">
        <v>565</v>
      </c>
      <c r="F177" s="58" t="s">
        <v>1102</v>
      </c>
      <c r="G177" s="46" t="s">
        <v>1107</v>
      </c>
      <c r="H177" s="34">
        <f>_xlfn.XLOOKUP(E177,commit_num_files!A$2:A$319,commit_num_files!B$2:B$319)</f>
      </c>
      <c r="I177" s="15">
        <f>_xlfn.XLOOKUP(C177,cve_title!A$2:A$164,cve_title!B$2:B$164)</f>
      </c>
      <c r="J177" s="1"/>
      <c r="K177" s="50" t="s">
        <v>1361</v>
      </c>
      <c r="L177" s="44" t="s">
        <v>1149</v>
      </c>
      <c r="M177" s="86" t="s">
        <v>1236</v>
      </c>
      <c r="N177" s="1"/>
    </row>
    <row x14ac:dyDescent="0.25" r="178" customHeight="1" ht="18.75">
      <c r="A178" s="44" t="s">
        <v>1362</v>
      </c>
      <c r="B178" s="44" t="s">
        <v>1113</v>
      </c>
      <c r="C178" s="44" t="s">
        <v>180</v>
      </c>
      <c r="D178" s="44" t="s">
        <v>1254</v>
      </c>
      <c r="E178" s="46" t="s">
        <v>532</v>
      </c>
      <c r="F178" s="58" t="s">
        <v>1102</v>
      </c>
      <c r="G178" s="46" t="s">
        <v>1106</v>
      </c>
      <c r="H178" s="7">
        <f>_xlfn.XLOOKUP(E178,commit_num_files!A$2:A$319,commit_num_files!B$2:B$319)</f>
      </c>
      <c r="I178" s="38">
        <f>_xlfn.XLOOKUP(C178,cve_title!A$2:A$164,cve_title!B$2:B$164)</f>
      </c>
      <c r="J178" s="44"/>
      <c r="K178" s="50" t="s">
        <v>1363</v>
      </c>
      <c r="L178" s="44" t="s">
        <v>1149</v>
      </c>
      <c r="M178" s="44"/>
      <c r="N178" s="44"/>
    </row>
    <row x14ac:dyDescent="0.25" r="179" customHeight="1" ht="18.75">
      <c r="A179" s="1" t="s">
        <v>1364</v>
      </c>
      <c r="B179" s="1" t="s">
        <v>1113</v>
      </c>
      <c r="C179" s="1" t="s">
        <v>182</v>
      </c>
      <c r="D179" s="1" t="s">
        <v>1293</v>
      </c>
      <c r="E179" s="37" t="s">
        <v>554</v>
      </c>
      <c r="F179" s="83" t="s">
        <v>1097</v>
      </c>
      <c r="G179" s="31" t="s">
        <v>1107</v>
      </c>
      <c r="H179" s="34">
        <f>_xlfn.XLOOKUP(E179,commit_num_files!A$2:A$319,commit_num_files!B$2:B$319)</f>
      </c>
      <c r="I179" s="38">
        <f>_xlfn.XLOOKUP(C179,cve_title!A$2:A$164,cve_title!B$2:B$164)</f>
      </c>
      <c r="J179" s="1"/>
      <c r="K179" s="28" t="s">
        <v>1365</v>
      </c>
      <c r="L179" s="1" t="s">
        <v>1149</v>
      </c>
      <c r="M179" s="1"/>
      <c r="N179" s="1"/>
    </row>
    <row x14ac:dyDescent="0.25" r="180" customHeight="1" ht="18.75">
      <c r="A180" s="22" t="s">
        <v>1366</v>
      </c>
      <c r="B180" s="22" t="s">
        <v>1113</v>
      </c>
      <c r="C180" s="22" t="s">
        <v>184</v>
      </c>
      <c r="D180" s="22" t="s">
        <v>1254</v>
      </c>
      <c r="E180" s="24" t="s">
        <v>593</v>
      </c>
      <c r="F180" s="68" t="s">
        <v>1102</v>
      </c>
      <c r="G180" s="37" t="s">
        <v>1107</v>
      </c>
      <c r="H180" s="41">
        <f>_xlfn.XLOOKUP(E180,commit_num_files!A$2:A$319,commit_num_files!B$2:B$319)</f>
      </c>
      <c r="I180" s="15">
        <f>_xlfn.XLOOKUP(C180,cve_title!A$2:A$164,cve_title!B$2:B$164)</f>
      </c>
      <c r="J180" s="22"/>
      <c r="K180" s="43" t="s">
        <v>1367</v>
      </c>
      <c r="L180" s="22" t="s">
        <v>1149</v>
      </c>
      <c r="M180" s="84" t="s">
        <v>1368</v>
      </c>
      <c r="N180" s="22" t="s">
        <v>1060</v>
      </c>
    </row>
    <row x14ac:dyDescent="0.25" r="181" customHeight="1" ht="18.75">
      <c r="A181" s="44" t="s">
        <v>1366</v>
      </c>
      <c r="B181" s="44" t="s">
        <v>1113</v>
      </c>
      <c r="C181" s="44" t="s">
        <v>184</v>
      </c>
      <c r="D181" s="44" t="s">
        <v>1254</v>
      </c>
      <c r="E181" s="46" t="s">
        <v>593</v>
      </c>
      <c r="F181" s="88" t="s">
        <v>1102</v>
      </c>
      <c r="G181" s="46" t="s">
        <v>1107</v>
      </c>
      <c r="H181" s="49">
        <f>_xlfn.XLOOKUP(E181,commit_num_files!A$2:A$319,commit_num_files!B$2:B$319)</f>
      </c>
      <c r="I181" s="27">
        <f>_xlfn.XLOOKUP(C181,cve_title!A$2:A$164,cve_title!B$2:B$164)</f>
      </c>
      <c r="J181" s="44"/>
      <c r="K181" s="50" t="s">
        <v>1367</v>
      </c>
      <c r="L181" s="44" t="s">
        <v>1149</v>
      </c>
      <c r="M181" s="86" t="s">
        <v>1368</v>
      </c>
      <c r="N181" s="44" t="s">
        <v>1061</v>
      </c>
    </row>
    <row x14ac:dyDescent="0.25" r="182" customHeight="1" ht="18.75">
      <c r="A182" s="1" t="s">
        <v>1369</v>
      </c>
      <c r="B182" s="1" t="s">
        <v>1113</v>
      </c>
      <c r="C182" s="1" t="s">
        <v>186</v>
      </c>
      <c r="D182" s="1" t="s">
        <v>1254</v>
      </c>
      <c r="E182" s="37" t="s">
        <v>586</v>
      </c>
      <c r="F182" s="88" t="s">
        <v>1100</v>
      </c>
      <c r="G182" s="46" t="s">
        <v>1106</v>
      </c>
      <c r="H182" s="7">
        <f>_xlfn.XLOOKUP(E182,commit_num_files!A$2:A$319,commit_num_files!B$2:B$319)</f>
      </c>
      <c r="I182" s="15">
        <f>_xlfn.XLOOKUP(C182,cve_title!A$2:A$164,cve_title!B$2:B$164)</f>
      </c>
      <c r="J182" s="1"/>
      <c r="K182" s="1" t="s">
        <v>1370</v>
      </c>
      <c r="L182" s="1" t="s">
        <v>1149</v>
      </c>
      <c r="M182" s="1" t="s">
        <v>1371</v>
      </c>
      <c r="N182" s="1"/>
    </row>
    <row x14ac:dyDescent="0.25" r="183" customHeight="1" ht="18.75">
      <c r="A183" s="29" t="s">
        <v>1372</v>
      </c>
      <c r="B183" s="29" t="s">
        <v>1113</v>
      </c>
      <c r="C183" s="29" t="s">
        <v>188</v>
      </c>
      <c r="D183" s="29" t="s">
        <v>1238</v>
      </c>
      <c r="E183" s="31" t="s">
        <v>530</v>
      </c>
      <c r="F183" s="76" t="s">
        <v>1102</v>
      </c>
      <c r="G183" s="31" t="s">
        <v>1107</v>
      </c>
      <c r="H183" s="41">
        <f>_xlfn.XLOOKUP(E183,commit_num_files!A$2:A$319,commit_num_files!B$2:B$319)</f>
      </c>
      <c r="I183" s="38">
        <f>_xlfn.XLOOKUP(C183,cve_title!A$2:A$164,cve_title!B$2:B$164)</f>
      </c>
      <c r="J183" s="29"/>
      <c r="K183" s="29" t="s">
        <v>1373</v>
      </c>
      <c r="L183" s="29" t="s">
        <v>1149</v>
      </c>
      <c r="M183" s="29"/>
      <c r="N183" s="29"/>
    </row>
    <row x14ac:dyDescent="0.25" r="184" customHeight="1" ht="18.75">
      <c r="A184" s="1" t="s">
        <v>1374</v>
      </c>
      <c r="B184" s="1" t="s">
        <v>1113</v>
      </c>
      <c r="C184" s="1" t="s">
        <v>190</v>
      </c>
      <c r="D184" s="1" t="s">
        <v>1167</v>
      </c>
      <c r="E184" s="37" t="s">
        <v>561</v>
      </c>
      <c r="F184" s="56" t="s">
        <v>1100</v>
      </c>
      <c r="G184" s="37" t="s">
        <v>1106</v>
      </c>
      <c r="H184" s="34">
        <f>_xlfn.XLOOKUP(E184,commit_num_files!A$2:A$319,commit_num_files!B$2:B$319)</f>
      </c>
      <c r="I184" s="38">
        <f>_xlfn.XLOOKUP(C184,cve_title!A$2:A$164,cve_title!B$2:B$164)</f>
      </c>
      <c r="J184" s="1"/>
      <c r="K184" s="1" t="s">
        <v>1375</v>
      </c>
      <c r="L184" s="1" t="s">
        <v>1149</v>
      </c>
      <c r="M184" s="1"/>
      <c r="N184" s="1"/>
    </row>
    <row x14ac:dyDescent="0.25" r="185" customHeight="1" ht="18.75">
      <c r="A185" s="29" t="s">
        <v>1376</v>
      </c>
      <c r="B185" s="29" t="s">
        <v>1113</v>
      </c>
      <c r="C185" s="29" t="s">
        <v>192</v>
      </c>
      <c r="D185" s="29" t="s">
        <v>1316</v>
      </c>
      <c r="E185" s="31" t="s">
        <v>520</v>
      </c>
      <c r="F185" s="76" t="s">
        <v>1100</v>
      </c>
      <c r="G185" s="31" t="s">
        <v>1106</v>
      </c>
      <c r="H185" s="49">
        <f>_xlfn.XLOOKUP(E185,commit_num_files!A$2:A$319,commit_num_files!B$2:B$319)</f>
      </c>
      <c r="I185" s="15">
        <f>_xlfn.XLOOKUP(C185,cve_title!A$2:A$164,cve_title!B$2:B$164)</f>
      </c>
      <c r="J185" s="29"/>
      <c r="K185" s="29" t="s">
        <v>1377</v>
      </c>
      <c r="L185" s="29" t="s">
        <v>1149</v>
      </c>
      <c r="M185" s="29"/>
      <c r="N185" s="29"/>
    </row>
    <row x14ac:dyDescent="0.25" r="186" customHeight="1" ht="18.75">
      <c r="A186" s="1" t="s">
        <v>1378</v>
      </c>
      <c r="B186" s="1" t="s">
        <v>1113</v>
      </c>
      <c r="C186" s="1" t="s">
        <v>194</v>
      </c>
      <c r="D186" s="1" t="s">
        <v>1226</v>
      </c>
      <c r="E186" s="37" t="s">
        <v>572</v>
      </c>
      <c r="F186" s="56" t="s">
        <v>1100</v>
      </c>
      <c r="G186" s="37" t="s">
        <v>1106</v>
      </c>
      <c r="H186" s="34">
        <f>_xlfn.XLOOKUP(E186,commit_num_files!A$2:A$319,commit_num_files!B$2:B$319)</f>
      </c>
      <c r="I186" s="38">
        <f>_xlfn.XLOOKUP(C186,cve_title!A$2:A$164,cve_title!B$2:B$164)</f>
      </c>
      <c r="J186" s="1"/>
      <c r="K186" s="1" t="s">
        <v>1379</v>
      </c>
      <c r="L186" s="1" t="s">
        <v>1149</v>
      </c>
      <c r="M186" s="1" t="s">
        <v>1380</v>
      </c>
      <c r="N186" s="1"/>
    </row>
    <row x14ac:dyDescent="0.25" r="187" customHeight="1" ht="18.75">
      <c r="A187" s="29" t="s">
        <v>1381</v>
      </c>
      <c r="B187" s="29" t="s">
        <v>1113</v>
      </c>
      <c r="C187" s="29" t="s">
        <v>196</v>
      </c>
      <c r="D187" s="29" t="s">
        <v>1360</v>
      </c>
      <c r="E187" s="31" t="s">
        <v>553</v>
      </c>
      <c r="F187" s="76" t="s">
        <v>1100</v>
      </c>
      <c r="G187" s="31" t="s">
        <v>1106</v>
      </c>
      <c r="H187" s="7">
        <f>_xlfn.XLOOKUP(E187,commit_num_files!A$2:A$319,commit_num_files!B$2:B$319)</f>
      </c>
      <c r="I187" s="38">
        <f>_xlfn.XLOOKUP(C187,cve_title!A$2:A$164,cve_title!B$2:B$164)</f>
      </c>
      <c r="J187" s="29"/>
      <c r="K187" s="29" t="s">
        <v>1382</v>
      </c>
      <c r="L187" s="29" t="s">
        <v>1149</v>
      </c>
      <c r="M187" s="29"/>
      <c r="N187" s="29"/>
    </row>
    <row x14ac:dyDescent="0.25" r="188" customHeight="1" ht="18.75">
      <c r="A188" s="1" t="s">
        <v>1383</v>
      </c>
      <c r="B188" s="1" t="s">
        <v>1113</v>
      </c>
      <c r="C188" s="1" t="s">
        <v>198</v>
      </c>
      <c r="D188" s="1" t="s">
        <v>1234</v>
      </c>
      <c r="E188" s="37" t="s">
        <v>506</v>
      </c>
      <c r="F188" s="56" t="s">
        <v>1097</v>
      </c>
      <c r="G188" s="37" t="s">
        <v>1107</v>
      </c>
      <c r="H188" s="34">
        <f>_xlfn.XLOOKUP(E188,commit_num_files!A$2:A$319,commit_num_files!B$2:B$319)</f>
      </c>
      <c r="I188" s="38">
        <f>_xlfn.XLOOKUP(C188,cve_title!A$2:A$164,cve_title!B$2:B$164)</f>
      </c>
      <c r="J188" s="1"/>
      <c r="K188" s="28" t="s">
        <v>1384</v>
      </c>
      <c r="L188" s="1" t="s">
        <v>1149</v>
      </c>
      <c r="M188" s="1"/>
      <c r="N188" s="1"/>
    </row>
    <row x14ac:dyDescent="0.25" r="189" customHeight="1" ht="18.75">
      <c r="A189" s="29" t="s">
        <v>1385</v>
      </c>
      <c r="B189" s="29" t="s">
        <v>1113</v>
      </c>
      <c r="C189" s="29" t="s">
        <v>200</v>
      </c>
      <c r="D189" s="29" t="s">
        <v>1254</v>
      </c>
      <c r="E189" s="31" t="s">
        <v>493</v>
      </c>
      <c r="F189" s="76" t="s">
        <v>1102</v>
      </c>
      <c r="G189" s="31" t="s">
        <v>1107</v>
      </c>
      <c r="H189" s="49">
        <f>_xlfn.XLOOKUP(E189,commit_num_files!A$2:A$319,commit_num_files!B$2:B$319)</f>
      </c>
      <c r="I189" s="15">
        <f>_xlfn.XLOOKUP(C189,cve_title!A$2:A$164,cve_title!B$2:B$164)</f>
      </c>
      <c r="J189" s="29"/>
      <c r="K189" s="35" t="s">
        <v>1386</v>
      </c>
      <c r="L189" s="29" t="s">
        <v>1149</v>
      </c>
      <c r="M189" s="29"/>
      <c r="N189" s="29"/>
    </row>
    <row x14ac:dyDescent="0.25" r="190" customHeight="1" ht="18.75">
      <c r="A190" s="1" t="s">
        <v>1387</v>
      </c>
      <c r="B190" s="1" t="s">
        <v>1113</v>
      </c>
      <c r="C190" s="1" t="s">
        <v>202</v>
      </c>
      <c r="D190" s="1" t="s">
        <v>1254</v>
      </c>
      <c r="E190" s="37" t="s">
        <v>567</v>
      </c>
      <c r="F190" s="56" t="s">
        <v>1100</v>
      </c>
      <c r="G190" s="37" t="s">
        <v>1106</v>
      </c>
      <c r="H190" s="7">
        <f>_xlfn.XLOOKUP(E190,commit_num_files!A$2:A$319,commit_num_files!B$2:B$319)</f>
      </c>
      <c r="I190" s="38">
        <f>_xlfn.XLOOKUP(C190,cve_title!A$2:A$164,cve_title!B$2:B$164)</f>
      </c>
      <c r="J190" s="1"/>
      <c r="K190" s="28" t="s">
        <v>1388</v>
      </c>
      <c r="L190" s="1" t="s">
        <v>1149</v>
      </c>
      <c r="M190" s="1"/>
      <c r="N190" s="1"/>
    </row>
    <row x14ac:dyDescent="0.25" r="191" customHeight="1" ht="18.75">
      <c r="A191" s="29" t="s">
        <v>1389</v>
      </c>
      <c r="B191" s="29" t="s">
        <v>1113</v>
      </c>
      <c r="C191" s="29" t="s">
        <v>204</v>
      </c>
      <c r="D191" s="29" t="s">
        <v>1254</v>
      </c>
      <c r="E191" s="31" t="s">
        <v>541</v>
      </c>
      <c r="F191" s="76" t="s">
        <v>1100</v>
      </c>
      <c r="G191" s="31" t="s">
        <v>1106</v>
      </c>
      <c r="H191" s="34">
        <f>_xlfn.XLOOKUP(E191,commit_num_files!A$2:A$319,commit_num_files!B$2:B$319)</f>
      </c>
      <c r="I191" s="15">
        <f>_xlfn.XLOOKUP(C191,cve_title!A$2:A$164,cve_title!B$2:B$164)</f>
      </c>
      <c r="J191" s="29"/>
      <c r="K191" s="35" t="s">
        <v>1390</v>
      </c>
      <c r="L191" s="29" t="s">
        <v>1149</v>
      </c>
      <c r="M191" s="29" t="s">
        <v>1391</v>
      </c>
      <c r="N191" s="29"/>
    </row>
    <row x14ac:dyDescent="0.25" r="192" customHeight="1" ht="18.75">
      <c r="A192" s="1" t="s">
        <v>1392</v>
      </c>
      <c r="B192" s="1" t="s">
        <v>1113</v>
      </c>
      <c r="C192" s="1" t="s">
        <v>206</v>
      </c>
      <c r="D192" s="1" t="s">
        <v>1254</v>
      </c>
      <c r="E192" s="37" t="s">
        <v>598</v>
      </c>
      <c r="F192" s="56" t="s">
        <v>1100</v>
      </c>
      <c r="G192" s="37" t="s">
        <v>1107</v>
      </c>
      <c r="H192" s="41">
        <f>_xlfn.XLOOKUP(E192,commit_num_files!A$2:A$319,commit_num_files!B$2:B$319)</f>
      </c>
      <c r="I192" s="42">
        <f>_xlfn.XLOOKUP(C192,cve_title!A$2:A$164,cve_title!B$2:B$164)</f>
      </c>
      <c r="J192" s="1"/>
      <c r="K192" s="1" t="s">
        <v>1393</v>
      </c>
      <c r="L192" s="1" t="s">
        <v>1149</v>
      </c>
      <c r="M192" s="1"/>
      <c r="N192" s="1" t="s">
        <v>1045</v>
      </c>
    </row>
    <row x14ac:dyDescent="0.25" r="193" customHeight="1" ht="18.75">
      <c r="A193" s="1" t="s">
        <v>1392</v>
      </c>
      <c r="B193" s="1" t="s">
        <v>1113</v>
      </c>
      <c r="C193" s="1" t="s">
        <v>206</v>
      </c>
      <c r="D193" s="1" t="s">
        <v>1254</v>
      </c>
      <c r="E193" s="37" t="s">
        <v>598</v>
      </c>
      <c r="F193" s="56" t="s">
        <v>1097</v>
      </c>
      <c r="G193" s="37" t="s">
        <v>1107</v>
      </c>
      <c r="H193" s="7">
        <f>_xlfn.XLOOKUP(E193,commit_num_files!A$2:A$319,commit_num_files!B$2:B$319)</f>
      </c>
      <c r="I193" s="27">
        <f>_xlfn.XLOOKUP(C193,cve_title!A$2:A$164,cve_title!B$2:B$164)</f>
      </c>
      <c r="J193" s="1"/>
      <c r="K193" s="1" t="s">
        <v>1393</v>
      </c>
      <c r="L193" s="1" t="s">
        <v>1149</v>
      </c>
      <c r="M193" s="1"/>
      <c r="N193" s="1" t="s">
        <v>1046</v>
      </c>
    </row>
    <row x14ac:dyDescent="0.25" r="194" customHeight="1" ht="18.75">
      <c r="A194" s="29" t="s">
        <v>1394</v>
      </c>
      <c r="B194" s="29" t="s">
        <v>1113</v>
      </c>
      <c r="C194" s="29" t="s">
        <v>208</v>
      </c>
      <c r="D194" s="29" t="s">
        <v>1254</v>
      </c>
      <c r="E194" s="31" t="s">
        <v>500</v>
      </c>
      <c r="F194" s="76" t="s">
        <v>1102</v>
      </c>
      <c r="G194" s="31" t="s">
        <v>1106</v>
      </c>
      <c r="H194" s="34">
        <f>_xlfn.XLOOKUP(E194,commit_num_files!A$2:A$319,commit_num_files!B$2:B$319)</f>
      </c>
      <c r="I194" s="27">
        <f>_xlfn.XLOOKUP(C194,cve_title!A$2:A$164,cve_title!B$2:B$164)</f>
      </c>
      <c r="J194" s="29"/>
      <c r="K194" s="29" t="s">
        <v>1395</v>
      </c>
      <c r="L194" s="29" t="s">
        <v>1149</v>
      </c>
      <c r="M194" s="29"/>
      <c r="N194" s="29"/>
    </row>
    <row x14ac:dyDescent="0.25" r="195" customHeight="1" ht="18.75">
      <c r="A195" s="1" t="s">
        <v>1396</v>
      </c>
      <c r="B195" s="1" t="s">
        <v>1113</v>
      </c>
      <c r="C195" s="1" t="s">
        <v>210</v>
      </c>
      <c r="D195" s="1" t="s">
        <v>1254</v>
      </c>
      <c r="E195" s="37" t="s">
        <v>602</v>
      </c>
      <c r="F195" s="56" t="s">
        <v>1102</v>
      </c>
      <c r="G195" s="37" t="s">
        <v>1106</v>
      </c>
      <c r="H195" s="7">
        <f>_xlfn.XLOOKUP(E195,commit_num_files!A$2:A$319,commit_num_files!B$2:B$319)</f>
      </c>
      <c r="I195" s="15">
        <f>_xlfn.XLOOKUP(C195,cve_title!A$2:A$164,cve_title!B$2:B$164)</f>
      </c>
      <c r="J195" s="1"/>
      <c r="K195" s="28" t="s">
        <v>1397</v>
      </c>
      <c r="L195" s="1" t="s">
        <v>1149</v>
      </c>
      <c r="M195" s="1"/>
      <c r="N195" s="1" t="s">
        <v>974</v>
      </c>
    </row>
    <row x14ac:dyDescent="0.25" r="196" customHeight="1" ht="18.75">
      <c r="A196" s="1" t="s">
        <v>1396</v>
      </c>
      <c r="B196" s="1" t="s">
        <v>1113</v>
      </c>
      <c r="C196" s="1" t="s">
        <v>210</v>
      </c>
      <c r="D196" s="1" t="s">
        <v>1254</v>
      </c>
      <c r="E196" s="37" t="s">
        <v>602</v>
      </c>
      <c r="F196" s="56" t="s">
        <v>1102</v>
      </c>
      <c r="G196" s="57" t="s">
        <v>1107</v>
      </c>
      <c r="H196" s="7">
        <f>_xlfn.XLOOKUP(E196,commit_num_files!A$2:A$319,commit_num_files!B$2:B$319)</f>
      </c>
      <c r="I196" s="15">
        <f>_xlfn.XLOOKUP(C196,cve_title!A$2:A$164,cve_title!B$2:B$164)</f>
      </c>
      <c r="J196" s="1"/>
      <c r="K196" s="1" t="s">
        <v>1397</v>
      </c>
      <c r="L196" s="1" t="s">
        <v>1149</v>
      </c>
      <c r="M196" s="1"/>
      <c r="N196" s="1" t="s">
        <v>975</v>
      </c>
    </row>
    <row x14ac:dyDescent="0.25" r="197" customHeight="1" ht="18.75">
      <c r="A197" s="1" t="s">
        <v>1396</v>
      </c>
      <c r="B197" s="1" t="s">
        <v>1113</v>
      </c>
      <c r="C197" s="1" t="s">
        <v>210</v>
      </c>
      <c r="D197" s="1" t="s">
        <v>1254</v>
      </c>
      <c r="E197" s="37" t="s">
        <v>602</v>
      </c>
      <c r="F197" s="56" t="s">
        <v>1097</v>
      </c>
      <c r="G197" s="57" t="s">
        <v>1106</v>
      </c>
      <c r="H197" s="7">
        <f>_xlfn.XLOOKUP(E197,commit_num_files!A$2:A$319,commit_num_files!B$2:B$319)</f>
      </c>
      <c r="I197" s="27">
        <f>_xlfn.XLOOKUP(C197,cve_title!A$2:A$164,cve_title!B$2:B$164)</f>
      </c>
      <c r="J197" s="1"/>
      <c r="K197" s="1" t="s">
        <v>1397</v>
      </c>
      <c r="L197" s="1" t="s">
        <v>1149</v>
      </c>
      <c r="M197" s="1" t="s">
        <v>1307</v>
      </c>
      <c r="N197" s="1" t="s">
        <v>976</v>
      </c>
    </row>
    <row x14ac:dyDescent="0.25" r="198" customHeight="1" ht="18.75">
      <c r="A198" s="29" t="s">
        <v>1398</v>
      </c>
      <c r="B198" s="29" t="s">
        <v>1113</v>
      </c>
      <c r="C198" s="29" t="s">
        <v>212</v>
      </c>
      <c r="D198" s="29" t="s">
        <v>1167</v>
      </c>
      <c r="E198" s="31" t="s">
        <v>527</v>
      </c>
      <c r="F198" s="76" t="s">
        <v>1097</v>
      </c>
      <c r="G198" s="31" t="s">
        <v>1107</v>
      </c>
      <c r="H198" s="34">
        <f>_xlfn.XLOOKUP(E198,commit_num_files!A$2:A$319,commit_num_files!B$2:B$319)</f>
      </c>
      <c r="I198" s="15">
        <f>_xlfn.XLOOKUP(C198,cve_title!A$2:A$164,cve_title!B$2:B$164)</f>
      </c>
      <c r="J198" s="29"/>
      <c r="K198" s="35" t="s">
        <v>1399</v>
      </c>
      <c r="L198" s="29" t="s">
        <v>1149</v>
      </c>
      <c r="M198" s="29" t="s">
        <v>1400</v>
      </c>
      <c r="N198" s="29"/>
    </row>
    <row x14ac:dyDescent="0.25" r="199" customHeight="1" ht="18.75">
      <c r="A199" s="1" t="s">
        <v>1401</v>
      </c>
      <c r="B199" s="1" t="s">
        <v>1113</v>
      </c>
      <c r="C199" s="1" t="s">
        <v>214</v>
      </c>
      <c r="D199" s="1" t="s">
        <v>1254</v>
      </c>
      <c r="E199" s="37" t="s">
        <v>531</v>
      </c>
      <c r="F199" s="56" t="s">
        <v>1102</v>
      </c>
      <c r="G199" s="37" t="s">
        <v>1107</v>
      </c>
      <c r="H199" s="7">
        <f>_xlfn.XLOOKUP(E199,commit_num_files!A$2:A$319,commit_num_files!B$2:B$319)</f>
      </c>
      <c r="I199" s="38">
        <f>_xlfn.XLOOKUP(C199,cve_title!A$2:A$164,cve_title!B$2:B$164)</f>
      </c>
      <c r="J199" s="1"/>
      <c r="K199" s="1" t="s">
        <v>1402</v>
      </c>
      <c r="L199" s="1" t="s">
        <v>1149</v>
      </c>
      <c r="M199" s="1" t="s">
        <v>1403</v>
      </c>
      <c r="N199" s="1"/>
    </row>
    <row x14ac:dyDescent="0.25" r="200" customHeight="1" ht="18.75">
      <c r="A200" s="29" t="s">
        <v>1404</v>
      </c>
      <c r="B200" s="29" t="s">
        <v>1113</v>
      </c>
      <c r="C200" s="29" t="s">
        <v>216</v>
      </c>
      <c r="D200" s="29" t="s">
        <v>1254</v>
      </c>
      <c r="E200" s="31" t="s">
        <v>544</v>
      </c>
      <c r="F200" s="76" t="s">
        <v>1102</v>
      </c>
      <c r="G200" s="31" t="s">
        <v>1107</v>
      </c>
      <c r="H200" s="41">
        <f>_xlfn.XLOOKUP(E200,commit_num_files!A$2:A$319,commit_num_files!B$2:B$319)</f>
      </c>
      <c r="I200" s="38">
        <f>_xlfn.XLOOKUP(C200,cve_title!A$2:A$164,cve_title!B$2:B$164)</f>
      </c>
      <c r="J200" s="29"/>
      <c r="K200" s="29" t="s">
        <v>1405</v>
      </c>
      <c r="L200" s="29" t="s">
        <v>1149</v>
      </c>
      <c r="M200" s="29"/>
      <c r="N200" s="29"/>
    </row>
    <row x14ac:dyDescent="0.25" r="201" customHeight="1" ht="18.75">
      <c r="A201" s="1" t="s">
        <v>1406</v>
      </c>
      <c r="B201" s="1" t="s">
        <v>1113</v>
      </c>
      <c r="C201" s="1" t="s">
        <v>218</v>
      </c>
      <c r="D201" s="1" t="s">
        <v>1147</v>
      </c>
      <c r="E201" s="37" t="s">
        <v>587</v>
      </c>
      <c r="F201" s="56" t="s">
        <v>1100</v>
      </c>
      <c r="G201" s="31" t="s">
        <v>1106</v>
      </c>
      <c r="H201" s="41">
        <f>_xlfn.XLOOKUP(E201,commit_num_files!A$2:A$319,commit_num_files!B$2:B$319)</f>
      </c>
      <c r="I201" s="27">
        <f>_xlfn.XLOOKUP(C201,cve_title!A$2:A$164,cve_title!B$2:B$164)</f>
      </c>
      <c r="J201" s="1"/>
      <c r="K201" s="28" t="s">
        <v>1407</v>
      </c>
      <c r="L201" s="1" t="s">
        <v>1149</v>
      </c>
      <c r="M201" s="1"/>
      <c r="N201" s="1"/>
    </row>
    <row x14ac:dyDescent="0.25" r="202" customHeight="1" ht="18.75">
      <c r="A202" s="29" t="s">
        <v>1408</v>
      </c>
      <c r="B202" s="29" t="s">
        <v>1113</v>
      </c>
      <c r="C202" s="29" t="s">
        <v>220</v>
      </c>
      <c r="D202" s="29" t="s">
        <v>1254</v>
      </c>
      <c r="E202" s="31" t="s">
        <v>562</v>
      </c>
      <c r="F202" s="76" t="s">
        <v>1097</v>
      </c>
      <c r="G202" s="31" t="s">
        <v>1106</v>
      </c>
      <c r="H202" s="34">
        <f>_xlfn.XLOOKUP(E202,commit_num_files!A$2:A$319,commit_num_files!B$2:B$319)</f>
      </c>
      <c r="I202" s="15">
        <f>_xlfn.XLOOKUP(C202,cve_title!A$2:A$164,cve_title!B$2:B$164)</f>
      </c>
      <c r="J202" s="29"/>
      <c r="K202" s="29" t="s">
        <v>1409</v>
      </c>
      <c r="L202" s="29" t="s">
        <v>1149</v>
      </c>
      <c r="M202" s="29"/>
      <c r="N202" s="29"/>
    </row>
    <row x14ac:dyDescent="0.25" r="203" customHeight="1" ht="18.75">
      <c r="A203" s="1" t="s">
        <v>1410</v>
      </c>
      <c r="B203" s="1" t="s">
        <v>1113</v>
      </c>
      <c r="C203" s="1" t="s">
        <v>222</v>
      </c>
      <c r="D203" s="1" t="s">
        <v>1147</v>
      </c>
      <c r="E203" s="37" t="s">
        <v>558</v>
      </c>
      <c r="F203" s="56" t="s">
        <v>1097</v>
      </c>
      <c r="G203" s="37" t="s">
        <v>1107</v>
      </c>
      <c r="H203" s="34">
        <f>_xlfn.XLOOKUP(E203,commit_num_files!A$2:A$319,commit_num_files!B$2:B$319)</f>
      </c>
      <c r="I203" s="38">
        <f>_xlfn.XLOOKUP(C203,cve_title!A$2:A$164,cve_title!B$2:B$164)</f>
      </c>
      <c r="J203" s="1"/>
      <c r="K203" s="1" t="s">
        <v>1411</v>
      </c>
      <c r="L203" s="1" t="s">
        <v>1149</v>
      </c>
      <c r="M203" s="1"/>
      <c r="N203" s="1"/>
    </row>
    <row x14ac:dyDescent="0.25" r="204" customHeight="1" ht="18.75">
      <c r="A204" s="29" t="s">
        <v>1412</v>
      </c>
      <c r="B204" s="29" t="s">
        <v>1113</v>
      </c>
      <c r="C204" s="29" t="s">
        <v>224</v>
      </c>
      <c r="D204" s="29" t="s">
        <v>1254</v>
      </c>
      <c r="E204" s="31" t="s">
        <v>494</v>
      </c>
      <c r="F204" s="76" t="s">
        <v>1104</v>
      </c>
      <c r="G204" s="31" t="s">
        <v>1107</v>
      </c>
      <c r="H204" s="34">
        <f>_xlfn.XLOOKUP(E204,commit_num_files!A$2:A$319,commit_num_files!B$2:B$319)</f>
      </c>
      <c r="I204" s="15">
        <f>_xlfn.XLOOKUP(C204,cve_title!A$2:A$164,cve_title!B$2:B$164)</f>
      </c>
      <c r="J204" s="29"/>
      <c r="K204" s="35" t="s">
        <v>1413</v>
      </c>
      <c r="L204" s="29" t="s">
        <v>1149</v>
      </c>
      <c r="M204" s="29"/>
      <c r="N204" s="29"/>
    </row>
    <row x14ac:dyDescent="0.25" r="205" customHeight="1" ht="18.75">
      <c r="A205" s="1" t="s">
        <v>1414</v>
      </c>
      <c r="B205" s="1" t="s">
        <v>1113</v>
      </c>
      <c r="C205" s="1" t="s">
        <v>226</v>
      </c>
      <c r="D205" s="1" t="s">
        <v>1254</v>
      </c>
      <c r="E205" s="37" t="s">
        <v>542</v>
      </c>
      <c r="F205" s="56" t="s">
        <v>1100</v>
      </c>
      <c r="G205" s="37" t="s">
        <v>1106</v>
      </c>
      <c r="H205" s="34">
        <f>_xlfn.XLOOKUP(E205,commit_num_files!A$2:A$319,commit_num_files!B$2:B$319)</f>
      </c>
      <c r="I205" s="38">
        <f>_xlfn.XLOOKUP(C205,cve_title!A$2:A$164,cve_title!B$2:B$164)</f>
      </c>
      <c r="J205" s="1"/>
      <c r="K205" s="28" t="s">
        <v>1415</v>
      </c>
      <c r="L205" s="1" t="s">
        <v>1149</v>
      </c>
      <c r="M205" s="1"/>
      <c r="N205" s="1"/>
    </row>
    <row x14ac:dyDescent="0.25" r="206" customHeight="1" ht="18.75">
      <c r="A206" s="29" t="s">
        <v>1416</v>
      </c>
      <c r="B206" s="29" t="s">
        <v>1113</v>
      </c>
      <c r="C206" s="29" t="s">
        <v>228</v>
      </c>
      <c r="D206" s="29" t="s">
        <v>1254</v>
      </c>
      <c r="E206" s="31" t="s">
        <v>596</v>
      </c>
      <c r="F206" s="76" t="s">
        <v>1102</v>
      </c>
      <c r="G206" s="31" t="s">
        <v>1107</v>
      </c>
      <c r="H206" s="34">
        <f>_xlfn.XLOOKUP(E206,commit_num_files!A$2:A$319,commit_num_files!B$2:B$319)</f>
      </c>
      <c r="I206" s="15">
        <f>_xlfn.XLOOKUP(C206,cve_title!A$2:A$164,cve_title!B$2:B$164)</f>
      </c>
      <c r="J206" s="29"/>
      <c r="K206" s="29" t="s">
        <v>1417</v>
      </c>
      <c r="L206" s="29" t="s">
        <v>1149</v>
      </c>
      <c r="M206" s="29"/>
      <c r="N206" s="29" t="s">
        <v>1051</v>
      </c>
    </row>
    <row x14ac:dyDescent="0.25" r="207" customHeight="1" ht="18.75">
      <c r="A207" s="1" t="s">
        <v>1418</v>
      </c>
      <c r="B207" s="1" t="s">
        <v>1113</v>
      </c>
      <c r="C207" s="1" t="s">
        <v>230</v>
      </c>
      <c r="D207" s="1" t="s">
        <v>1293</v>
      </c>
      <c r="E207" s="37" t="s">
        <v>606</v>
      </c>
      <c r="F207" s="56" t="s">
        <v>1102</v>
      </c>
      <c r="G207" s="37" t="s">
        <v>1107</v>
      </c>
      <c r="H207" s="41">
        <f>_xlfn.XLOOKUP(E207,commit_num_files!A$2:A$319,commit_num_files!B$2:B$319)</f>
      </c>
      <c r="I207" s="42">
        <f>_xlfn.XLOOKUP(C207,cve_title!A$2:A$164,cve_title!B$2:B$164)</f>
      </c>
      <c r="J207" s="1"/>
      <c r="K207" s="28" t="s">
        <v>1419</v>
      </c>
      <c r="L207" s="22" t="s">
        <v>1149</v>
      </c>
      <c r="M207" s="1" t="s">
        <v>1420</v>
      </c>
      <c r="N207" s="1" t="s">
        <v>1421</v>
      </c>
    </row>
    <row x14ac:dyDescent="0.25" r="208" customHeight="1" ht="18.75">
      <c r="A208" s="1" t="s">
        <v>1418</v>
      </c>
      <c r="B208" s="1" t="s">
        <v>1113</v>
      </c>
      <c r="C208" s="1" t="s">
        <v>230</v>
      </c>
      <c r="D208" s="1" t="s">
        <v>1293</v>
      </c>
      <c r="E208" s="37" t="s">
        <v>606</v>
      </c>
      <c r="F208" s="56" t="s">
        <v>1104</v>
      </c>
      <c r="G208" s="37" t="s">
        <v>1107</v>
      </c>
      <c r="H208" s="7">
        <f>_xlfn.XLOOKUP(E208,commit_num_files!A$2:A$319,commit_num_files!B$2:B$319)</f>
      </c>
      <c r="I208" s="15">
        <f>_xlfn.XLOOKUP(C208,cve_title!A$2:A$164,cve_title!B$2:B$164)</f>
      </c>
      <c r="J208" s="1"/>
      <c r="K208" s="28" t="s">
        <v>1419</v>
      </c>
      <c r="L208" s="1" t="s">
        <v>1149</v>
      </c>
      <c r="M208" s="1"/>
      <c r="N208" s="1"/>
    </row>
    <row x14ac:dyDescent="0.25" r="209" customHeight="1" ht="18.75">
      <c r="A209" s="1" t="s">
        <v>1418</v>
      </c>
      <c r="B209" s="1" t="s">
        <v>1113</v>
      </c>
      <c r="C209" s="1" t="s">
        <v>230</v>
      </c>
      <c r="D209" s="1" t="s">
        <v>1293</v>
      </c>
      <c r="E209" s="37" t="s">
        <v>606</v>
      </c>
      <c r="F209" s="56" t="s">
        <v>1103</v>
      </c>
      <c r="G209" s="37" t="s">
        <v>1107</v>
      </c>
      <c r="H209" s="7">
        <f>_xlfn.XLOOKUP(E209,commit_num_files!A$2:A$319,commit_num_files!B$2:B$319)</f>
      </c>
      <c r="I209" s="15">
        <f>_xlfn.XLOOKUP(C209,cve_title!A$2:A$164,cve_title!B$2:B$164)</f>
      </c>
      <c r="J209" s="1"/>
      <c r="K209" s="1" t="s">
        <v>1419</v>
      </c>
      <c r="L209" s="1" t="s">
        <v>1149</v>
      </c>
      <c r="M209" s="1"/>
      <c r="N209" s="1"/>
    </row>
    <row x14ac:dyDescent="0.25" r="210" customHeight="1" ht="18.75">
      <c r="A210" s="29" t="s">
        <v>1422</v>
      </c>
      <c r="B210" s="29" t="s">
        <v>1113</v>
      </c>
      <c r="C210" s="29" t="s">
        <v>232</v>
      </c>
      <c r="D210" s="29" t="s">
        <v>1167</v>
      </c>
      <c r="E210" s="31" t="s">
        <v>547</v>
      </c>
      <c r="F210" s="76" t="s">
        <v>1100</v>
      </c>
      <c r="G210" s="31" t="s">
        <v>1106</v>
      </c>
      <c r="H210" s="34">
        <f>_xlfn.XLOOKUP(E210,commit_num_files!A$2:A$319,commit_num_files!B$2:B$319)</f>
      </c>
      <c r="I210" s="38">
        <f>_xlfn.XLOOKUP(C210,cve_title!A$2:A$164,cve_title!B$2:B$164)</f>
      </c>
      <c r="J210" s="29"/>
      <c r="K210" s="29" t="s">
        <v>1423</v>
      </c>
      <c r="L210" s="29" t="s">
        <v>1149</v>
      </c>
      <c r="M210" s="29"/>
      <c r="N210" s="29"/>
    </row>
    <row x14ac:dyDescent="0.25" r="211" customHeight="1" ht="18.75">
      <c r="A211" s="1" t="s">
        <v>1424</v>
      </c>
      <c r="B211" s="1" t="s">
        <v>1113</v>
      </c>
      <c r="C211" s="1" t="s">
        <v>234</v>
      </c>
      <c r="D211" s="1" t="s">
        <v>1147</v>
      </c>
      <c r="E211" s="37" t="s">
        <v>537</v>
      </c>
      <c r="F211" s="56" t="s">
        <v>1102</v>
      </c>
      <c r="G211" s="37" t="s">
        <v>1107</v>
      </c>
      <c r="H211" s="49">
        <f>_xlfn.XLOOKUP(E211,commit_num_files!A$2:A$319,commit_num_files!B$2:B$319)</f>
      </c>
      <c r="I211" s="15">
        <f>_xlfn.XLOOKUP(C211,cve_title!A$2:A$164,cve_title!B$2:B$164)</f>
      </c>
      <c r="J211" s="1"/>
      <c r="K211" s="1" t="s">
        <v>1425</v>
      </c>
      <c r="L211" s="1" t="s">
        <v>1149</v>
      </c>
      <c r="M211" s="1"/>
      <c r="N211" s="1"/>
    </row>
    <row x14ac:dyDescent="0.25" r="212" customHeight="1" ht="18.75">
      <c r="A212" s="29" t="s">
        <v>1426</v>
      </c>
      <c r="B212" s="29" t="s">
        <v>1113</v>
      </c>
      <c r="C212" s="29" t="s">
        <v>236</v>
      </c>
      <c r="D212" s="29" t="s">
        <v>1147</v>
      </c>
      <c r="E212" s="31" t="s">
        <v>560</v>
      </c>
      <c r="F212" s="76" t="s">
        <v>1102</v>
      </c>
      <c r="G212" s="31" t="s">
        <v>1107</v>
      </c>
      <c r="H212" s="7">
        <f>_xlfn.XLOOKUP(E212,commit_num_files!A$2:A$319,commit_num_files!B$2:B$319)</f>
      </c>
      <c r="I212" s="38">
        <f>_xlfn.XLOOKUP(C212,cve_title!A$2:A$164,cve_title!B$2:B$164)</f>
      </c>
      <c r="J212" s="29"/>
      <c r="K212" s="29" t="s">
        <v>1427</v>
      </c>
      <c r="L212" s="29" t="s">
        <v>1149</v>
      </c>
      <c r="M212" s="29" t="s">
        <v>1428</v>
      </c>
      <c r="N212" s="29"/>
    </row>
    <row x14ac:dyDescent="0.25" r="213" customHeight="1" ht="18.75">
      <c r="A213" s="1" t="s">
        <v>1429</v>
      </c>
      <c r="B213" s="1" t="s">
        <v>1113</v>
      </c>
      <c r="C213" s="1" t="s">
        <v>238</v>
      </c>
      <c r="D213" s="1" t="s">
        <v>1254</v>
      </c>
      <c r="E213" s="37" t="s">
        <v>546</v>
      </c>
      <c r="F213" s="56" t="s">
        <v>1102</v>
      </c>
      <c r="G213" s="37" t="s">
        <v>1106</v>
      </c>
      <c r="H213" s="41">
        <f>_xlfn.XLOOKUP(E213,commit_num_files!A$2:A$319,commit_num_files!B$2:B$319)</f>
      </c>
      <c r="I213" s="15">
        <f>_xlfn.XLOOKUP(C213,cve_title!A$2:A$164,cve_title!B$2:B$164)</f>
      </c>
      <c r="J213" s="1"/>
      <c r="K213" s="28" t="s">
        <v>1430</v>
      </c>
      <c r="L213" s="1" t="s">
        <v>1149</v>
      </c>
      <c r="M213" s="1"/>
      <c r="N213" s="1"/>
    </row>
    <row x14ac:dyDescent="0.25" r="214" customHeight="1" ht="18.75">
      <c r="A214" s="29" t="s">
        <v>1431</v>
      </c>
      <c r="B214" s="29" t="s">
        <v>1113</v>
      </c>
      <c r="C214" s="29" t="s">
        <v>240</v>
      </c>
      <c r="D214" s="29" t="s">
        <v>1254</v>
      </c>
      <c r="E214" s="31" t="s">
        <v>533</v>
      </c>
      <c r="F214" s="76" t="s">
        <v>1097</v>
      </c>
      <c r="G214" s="31" t="s">
        <v>1106</v>
      </c>
      <c r="H214" s="34">
        <f>_xlfn.XLOOKUP(E214,commit_num_files!A$2:A$319,commit_num_files!B$2:B$319)</f>
      </c>
      <c r="I214" s="38">
        <f>_xlfn.XLOOKUP(C214,cve_title!A$2:A$164,cve_title!B$2:B$164)</f>
      </c>
      <c r="J214" s="29"/>
      <c r="K214" s="29" t="s">
        <v>1432</v>
      </c>
      <c r="L214" s="29" t="s">
        <v>1149</v>
      </c>
      <c r="M214" s="29"/>
      <c r="N214" s="29"/>
    </row>
    <row x14ac:dyDescent="0.25" r="215" customHeight="1" ht="18.75">
      <c r="A215" s="1" t="s">
        <v>1433</v>
      </c>
      <c r="B215" s="1" t="s">
        <v>1113</v>
      </c>
      <c r="C215" s="1" t="s">
        <v>242</v>
      </c>
      <c r="D215" s="1" t="s">
        <v>1238</v>
      </c>
      <c r="E215" s="37" t="s">
        <v>509</v>
      </c>
      <c r="F215" s="76" t="s">
        <v>1097</v>
      </c>
      <c r="G215" s="31" t="s">
        <v>1106</v>
      </c>
      <c r="H215" s="7">
        <f>_xlfn.XLOOKUP(E215,commit_num_files!A$2:A$319,commit_num_files!B$2:B$319)</f>
      </c>
      <c r="I215" s="15">
        <f>_xlfn.XLOOKUP(C215,cve_title!A$2:A$164,cve_title!B$2:B$164)</f>
      </c>
      <c r="J215" s="1"/>
      <c r="K215" s="1" t="s">
        <v>1434</v>
      </c>
      <c r="L215" s="1" t="s">
        <v>1149</v>
      </c>
      <c r="M215" s="1"/>
      <c r="N215" s="1"/>
    </row>
    <row x14ac:dyDescent="0.25" r="216" customHeight="1" ht="18.75">
      <c r="A216" s="29" t="s">
        <v>1435</v>
      </c>
      <c r="B216" s="29" t="s">
        <v>1113</v>
      </c>
      <c r="C216" s="29" t="s">
        <v>244</v>
      </c>
      <c r="D216" s="29" t="s">
        <v>1238</v>
      </c>
      <c r="E216" s="31" t="s">
        <v>566</v>
      </c>
      <c r="F216" s="76" t="s">
        <v>1097</v>
      </c>
      <c r="G216" s="31" t="s">
        <v>1106</v>
      </c>
      <c r="H216" s="34">
        <f>_xlfn.XLOOKUP(E216,commit_num_files!A$2:A$319,commit_num_files!B$2:B$319)</f>
      </c>
      <c r="I216" s="38">
        <f>_xlfn.XLOOKUP(C216,cve_title!A$2:A$164,cve_title!B$2:B$164)</f>
      </c>
      <c r="J216" s="29"/>
      <c r="K216" s="29" t="s">
        <v>1436</v>
      </c>
      <c r="L216" s="29" t="s">
        <v>1149</v>
      </c>
      <c r="M216" s="29"/>
      <c r="N216" s="29"/>
    </row>
    <row x14ac:dyDescent="0.25" r="217" customHeight="1" ht="18.75">
      <c r="A217" s="1" t="s">
        <v>1437</v>
      </c>
      <c r="B217" s="1" t="s">
        <v>1113</v>
      </c>
      <c r="C217" s="1" t="s">
        <v>246</v>
      </c>
      <c r="D217" s="1" t="s">
        <v>1130</v>
      </c>
      <c r="E217" s="37" t="s">
        <v>595</v>
      </c>
      <c r="F217" s="56" t="s">
        <v>1102</v>
      </c>
      <c r="G217" s="37" t="s">
        <v>1107</v>
      </c>
      <c r="H217" s="7">
        <f>_xlfn.XLOOKUP(E217,commit_num_files!A$2:A$319,commit_num_files!B$2:B$319)</f>
      </c>
      <c r="I217" s="38">
        <f>_xlfn.XLOOKUP(C217,cve_title!A$2:A$164,cve_title!B$2:B$164)</f>
      </c>
      <c r="J217" s="1"/>
      <c r="K217" s="1" t="s">
        <v>1438</v>
      </c>
      <c r="L217" s="1" t="s">
        <v>1149</v>
      </c>
      <c r="M217" s="85" t="s">
        <v>1439</v>
      </c>
      <c r="N217" s="1" t="s">
        <v>1440</v>
      </c>
    </row>
    <row x14ac:dyDescent="0.25" r="218" customHeight="1" ht="18.75">
      <c r="A218" s="22" t="s">
        <v>1441</v>
      </c>
      <c r="B218" s="22" t="s">
        <v>1113</v>
      </c>
      <c r="C218" s="22" t="s">
        <v>248</v>
      </c>
      <c r="D218" s="22" t="s">
        <v>1442</v>
      </c>
      <c r="E218" s="24" t="s">
        <v>603</v>
      </c>
      <c r="F218" s="71" t="s">
        <v>1102</v>
      </c>
      <c r="G218" s="24" t="s">
        <v>1107</v>
      </c>
      <c r="H218" s="41">
        <f>_xlfn.XLOOKUP(E218,commit_num_files!A$2:A$319,commit_num_files!B$2:B$319)</f>
      </c>
      <c r="I218" s="15">
        <f>_xlfn.XLOOKUP(C218,cve_title!A$2:A$164,cve_title!B$2:B$164)</f>
      </c>
      <c r="J218" s="22"/>
      <c r="K218" s="22" t="s">
        <v>1443</v>
      </c>
      <c r="L218" s="22" t="s">
        <v>1149</v>
      </c>
      <c r="M218" s="22"/>
      <c r="N218" s="22" t="s">
        <v>981</v>
      </c>
    </row>
    <row x14ac:dyDescent="0.25" r="219" customHeight="1" ht="18.75">
      <c r="A219" s="1" t="s">
        <v>1441</v>
      </c>
      <c r="B219" s="1" t="s">
        <v>1113</v>
      </c>
      <c r="C219" s="1" t="s">
        <v>248</v>
      </c>
      <c r="D219" s="1" t="s">
        <v>1442</v>
      </c>
      <c r="E219" s="37" t="s">
        <v>603</v>
      </c>
      <c r="F219" s="56" t="s">
        <v>1102</v>
      </c>
      <c r="G219" s="37" t="s">
        <v>1107</v>
      </c>
      <c r="H219" s="7">
        <f>_xlfn.XLOOKUP(E219,commit_num_files!A$2:A$319,commit_num_files!B$2:B$319)</f>
      </c>
      <c r="I219" s="15">
        <f>_xlfn.XLOOKUP(C219,cve_title!A$2:A$164,cve_title!B$2:B$164)</f>
      </c>
      <c r="J219" s="1"/>
      <c r="K219" s="1" t="s">
        <v>1443</v>
      </c>
      <c r="L219" s="1" t="s">
        <v>1149</v>
      </c>
      <c r="M219" s="1"/>
      <c r="N219" s="1" t="s">
        <v>982</v>
      </c>
    </row>
    <row x14ac:dyDescent="0.25" r="220" customHeight="1" ht="18.75">
      <c r="A220" s="44" t="s">
        <v>1441</v>
      </c>
      <c r="B220" s="44" t="s">
        <v>1113</v>
      </c>
      <c r="C220" s="44" t="s">
        <v>248</v>
      </c>
      <c r="D220" s="44" t="s">
        <v>1442</v>
      </c>
      <c r="E220" s="46" t="s">
        <v>603</v>
      </c>
      <c r="F220" s="58" t="s">
        <v>1102</v>
      </c>
      <c r="G220" s="46" t="s">
        <v>1107</v>
      </c>
      <c r="H220" s="49">
        <f>_xlfn.XLOOKUP(E220,commit_num_files!A$2:A$319,commit_num_files!B$2:B$319)</f>
      </c>
      <c r="I220" s="15">
        <f>_xlfn.XLOOKUP(C220,cve_title!A$2:A$164,cve_title!B$2:B$164)</f>
      </c>
      <c r="J220" s="44"/>
      <c r="K220" s="44" t="s">
        <v>1443</v>
      </c>
      <c r="L220" s="44" t="s">
        <v>1149</v>
      </c>
      <c r="M220" s="44"/>
      <c r="N220" s="44" t="s">
        <v>983</v>
      </c>
    </row>
    <row x14ac:dyDescent="0.25" r="221" customHeight="1" ht="18.75">
      <c r="A221" s="1" t="s">
        <v>1444</v>
      </c>
      <c r="B221" s="1" t="s">
        <v>1113</v>
      </c>
      <c r="C221" s="1" t="s">
        <v>250</v>
      </c>
      <c r="D221" s="1" t="s">
        <v>1167</v>
      </c>
      <c r="E221" s="37" t="s">
        <v>515</v>
      </c>
      <c r="F221" s="56" t="s">
        <v>1100</v>
      </c>
      <c r="G221" s="37" t="s">
        <v>1108</v>
      </c>
      <c r="H221" s="41">
        <f>_xlfn.XLOOKUP(E221,commit_num_files!A$2:A$319,commit_num_files!B$2:B$319)</f>
      </c>
      <c r="I221" s="42">
        <f>_xlfn.XLOOKUP(C221,cve_title!A$2:A$164,cve_title!B$2:B$164)</f>
      </c>
      <c r="J221" s="1"/>
      <c r="K221" s="28" t="s">
        <v>1445</v>
      </c>
      <c r="L221" s="1" t="s">
        <v>1149</v>
      </c>
      <c r="M221" s="1" t="s">
        <v>1446</v>
      </c>
      <c r="N221" s="1"/>
    </row>
    <row x14ac:dyDescent="0.25" r="222" customHeight="1" ht="18.75">
      <c r="A222" s="1" t="s">
        <v>1444</v>
      </c>
      <c r="B222" s="1" t="s">
        <v>1113</v>
      </c>
      <c r="C222" s="1" t="s">
        <v>250</v>
      </c>
      <c r="D222" s="1" t="s">
        <v>1167</v>
      </c>
      <c r="E222" s="37" t="s">
        <v>515</v>
      </c>
      <c r="F222" s="56" t="s">
        <v>1102</v>
      </c>
      <c r="G222" s="37" t="s">
        <v>1107</v>
      </c>
      <c r="H222" s="7">
        <f>_xlfn.XLOOKUP(E222,commit_num_files!A$2:A$319,commit_num_files!B$2:B$319)</f>
      </c>
      <c r="I222" s="15">
        <f>_xlfn.XLOOKUP(C222,cve_title!A$2:A$164,cve_title!B$2:B$164)</f>
      </c>
      <c r="J222" s="1"/>
      <c r="K222" s="28" t="s">
        <v>1445</v>
      </c>
      <c r="L222" s="1" t="s">
        <v>1149</v>
      </c>
      <c r="M222" s="1"/>
      <c r="N222" s="1"/>
    </row>
    <row x14ac:dyDescent="0.25" r="223" customHeight="1" ht="18.75">
      <c r="A223" s="1" t="s">
        <v>1444</v>
      </c>
      <c r="B223" s="1" t="s">
        <v>1113</v>
      </c>
      <c r="C223" s="1" t="s">
        <v>250</v>
      </c>
      <c r="D223" s="1" t="s">
        <v>1167</v>
      </c>
      <c r="E223" s="37" t="s">
        <v>515</v>
      </c>
      <c r="F223" s="56" t="s">
        <v>1100</v>
      </c>
      <c r="G223" s="37" t="s">
        <v>1107</v>
      </c>
      <c r="H223" s="7">
        <f>_xlfn.XLOOKUP(E223,commit_num_files!A$2:A$319,commit_num_files!B$2:B$319)</f>
      </c>
      <c r="I223" s="15">
        <f>_xlfn.XLOOKUP(C223,cve_title!A$2:A$164,cve_title!B$2:B$164)</f>
      </c>
      <c r="J223" s="1"/>
      <c r="K223" s="1" t="s">
        <v>1445</v>
      </c>
      <c r="L223" s="44" t="s">
        <v>1149</v>
      </c>
      <c r="M223" s="1"/>
      <c r="N223" s="1"/>
    </row>
    <row x14ac:dyDescent="0.25" r="224" customHeight="1" ht="18.75">
      <c r="A224" s="29" t="s">
        <v>1447</v>
      </c>
      <c r="B224" s="29" t="s">
        <v>1113</v>
      </c>
      <c r="C224" s="29" t="s">
        <v>252</v>
      </c>
      <c r="D224" s="29" t="s">
        <v>1254</v>
      </c>
      <c r="E224" s="31" t="s">
        <v>504</v>
      </c>
      <c r="F224" s="76" t="s">
        <v>1100</v>
      </c>
      <c r="G224" s="31" t="s">
        <v>1107</v>
      </c>
      <c r="H224" s="34">
        <f>_xlfn.XLOOKUP(E224,commit_num_files!A$2:A$319,commit_num_files!B$2:B$319)</f>
      </c>
      <c r="I224" s="38">
        <f>_xlfn.XLOOKUP(C224,cve_title!A$2:A$164,cve_title!B$2:B$164)</f>
      </c>
      <c r="J224" s="29"/>
      <c r="K224" s="29" t="s">
        <v>1448</v>
      </c>
      <c r="L224" s="44" t="s">
        <v>1149</v>
      </c>
      <c r="M224" s="29" t="s">
        <v>1449</v>
      </c>
      <c r="N224" s="29"/>
    </row>
    <row x14ac:dyDescent="0.25" r="225" customHeight="1" ht="18.75">
      <c r="A225" s="1" t="s">
        <v>1450</v>
      </c>
      <c r="B225" s="1" t="s">
        <v>1113</v>
      </c>
      <c r="C225" s="1" t="s">
        <v>254</v>
      </c>
      <c r="D225" s="1" t="s">
        <v>1254</v>
      </c>
      <c r="E225" s="37" t="s">
        <v>545</v>
      </c>
      <c r="F225" s="56" t="s">
        <v>1100</v>
      </c>
      <c r="G225" s="37" t="s">
        <v>1106</v>
      </c>
      <c r="H225" s="34">
        <f>_xlfn.XLOOKUP(E225,commit_num_files!A$2:A$319,commit_num_files!B$2:B$319)</f>
      </c>
      <c r="I225" s="38">
        <f>_xlfn.XLOOKUP(C225,cve_title!A$2:A$164,cve_title!B$2:B$164)</f>
      </c>
      <c r="J225" s="1"/>
      <c r="K225" s="1" t="s">
        <v>1451</v>
      </c>
      <c r="L225" s="44" t="s">
        <v>1149</v>
      </c>
      <c r="M225" s="1"/>
      <c r="N225" s="1"/>
    </row>
    <row x14ac:dyDescent="0.25" r="226" customHeight="1" ht="18.75">
      <c r="A226" s="29" t="s">
        <v>1452</v>
      </c>
      <c r="B226" s="29" t="s">
        <v>1113</v>
      </c>
      <c r="C226" s="29" t="s">
        <v>256</v>
      </c>
      <c r="D226" s="29" t="s">
        <v>1254</v>
      </c>
      <c r="E226" s="31" t="s">
        <v>529</v>
      </c>
      <c r="F226" s="76" t="s">
        <v>1102</v>
      </c>
      <c r="G226" s="31" t="s">
        <v>1107</v>
      </c>
      <c r="H226" s="34">
        <f>_xlfn.XLOOKUP(E226,commit_num_files!A$2:A$319,commit_num_files!B$2:B$319)</f>
      </c>
      <c r="I226" s="38">
        <f>_xlfn.XLOOKUP(C226,cve_title!A$2:A$164,cve_title!B$2:B$164)</f>
      </c>
      <c r="J226" s="29"/>
      <c r="K226" s="29" t="s">
        <v>1453</v>
      </c>
      <c r="L226" s="44" t="s">
        <v>1149</v>
      </c>
      <c r="M226" s="29"/>
      <c r="N226" s="29"/>
    </row>
    <row x14ac:dyDescent="0.25" r="227" customHeight="1" ht="18.75">
      <c r="A227" s="22" t="s">
        <v>1454</v>
      </c>
      <c r="B227" s="22" t="s">
        <v>1113</v>
      </c>
      <c r="C227" s="22" t="s">
        <v>258</v>
      </c>
      <c r="D227" s="22" t="s">
        <v>1234</v>
      </c>
      <c r="E227" s="24" t="s">
        <v>580</v>
      </c>
      <c r="F227" s="71" t="s">
        <v>1100</v>
      </c>
      <c r="G227" s="24" t="s">
        <v>1106</v>
      </c>
      <c r="H227" s="7">
        <f>_xlfn.XLOOKUP(E227,commit_num_files!A$2:A$319,commit_num_files!B$2:B$319)</f>
      </c>
      <c r="I227" s="15">
        <f>_xlfn.XLOOKUP(C227,cve_title!A$2:A$164,cve_title!B$2:B$164)</f>
      </c>
      <c r="J227" s="22"/>
      <c r="K227" s="22" t="s">
        <v>1455</v>
      </c>
      <c r="L227" s="1" t="s">
        <v>1149</v>
      </c>
      <c r="M227" s="22"/>
      <c r="N227" s="22"/>
    </row>
    <row x14ac:dyDescent="0.25" r="228" customHeight="1" ht="18.75">
      <c r="A228" s="44" t="s">
        <v>1454</v>
      </c>
      <c r="B228" s="44" t="s">
        <v>1113</v>
      </c>
      <c r="C228" s="44" t="s">
        <v>258</v>
      </c>
      <c r="D228" s="44" t="s">
        <v>1234</v>
      </c>
      <c r="E228" s="46" t="s">
        <v>580</v>
      </c>
      <c r="F228" s="58" t="s">
        <v>1100</v>
      </c>
      <c r="G228" s="46" t="s">
        <v>1107</v>
      </c>
      <c r="H228" s="7">
        <f>_xlfn.XLOOKUP(E228,commit_num_files!A$2:A$319,commit_num_files!B$2:B$319)</f>
      </c>
      <c r="I228" s="27">
        <f>_xlfn.XLOOKUP(C228,cve_title!A$2:A$164,cve_title!B$2:B$164)</f>
      </c>
      <c r="J228" s="44"/>
      <c r="K228" s="44" t="s">
        <v>1455</v>
      </c>
      <c r="L228" s="44" t="s">
        <v>1149</v>
      </c>
      <c r="M228" s="44"/>
      <c r="N228" s="44"/>
    </row>
    <row x14ac:dyDescent="0.25" r="229" customHeight="1" ht="18.75">
      <c r="A229" s="1" t="s">
        <v>1456</v>
      </c>
      <c r="B229" s="1" t="s">
        <v>1113</v>
      </c>
      <c r="C229" s="1" t="s">
        <v>260</v>
      </c>
      <c r="D229" s="1" t="s">
        <v>1167</v>
      </c>
      <c r="E229" s="37" t="s">
        <v>538</v>
      </c>
      <c r="F229" s="56" t="s">
        <v>1100</v>
      </c>
      <c r="G229" s="37" t="s">
        <v>1106</v>
      </c>
      <c r="H229" s="34">
        <f>_xlfn.XLOOKUP(E229,commit_num_files!A$2:A$319,commit_num_files!B$2:B$319)</f>
      </c>
      <c r="I229" s="27">
        <f>_xlfn.XLOOKUP(C229,cve_title!A$2:A$164,cve_title!B$2:B$164)</f>
      </c>
      <c r="J229" s="1"/>
      <c r="K229" s="1" t="s">
        <v>1457</v>
      </c>
      <c r="L229" s="44" t="s">
        <v>1149</v>
      </c>
      <c r="M229" s="1"/>
      <c r="N229" s="1"/>
    </row>
    <row x14ac:dyDescent="0.25" r="230" customHeight="1" ht="18.75">
      <c r="A230" s="29" t="s">
        <v>1458</v>
      </c>
      <c r="B230" s="29" t="s">
        <v>1113</v>
      </c>
      <c r="C230" s="29" t="s">
        <v>262</v>
      </c>
      <c r="D230" s="29" t="s">
        <v>1254</v>
      </c>
      <c r="E230" s="31" t="s">
        <v>590</v>
      </c>
      <c r="F230" s="76" t="s">
        <v>1100</v>
      </c>
      <c r="G230" s="31" t="s">
        <v>1106</v>
      </c>
      <c r="H230" s="34">
        <f>_xlfn.XLOOKUP(E230,commit_num_files!A$2:A$319,commit_num_files!B$2:B$319)</f>
      </c>
      <c r="I230" s="15">
        <f>_xlfn.XLOOKUP(C230,cve_title!A$2:A$164,cve_title!B$2:B$164)</f>
      </c>
      <c r="J230" s="29"/>
      <c r="K230" s="29" t="s">
        <v>1459</v>
      </c>
      <c r="L230" s="44" t="s">
        <v>1149</v>
      </c>
      <c r="M230" s="29"/>
      <c r="N230" s="29"/>
    </row>
    <row x14ac:dyDescent="0.25" r="231" customHeight="1" ht="18.75">
      <c r="A231" s="1" t="s">
        <v>1460</v>
      </c>
      <c r="B231" s="1" t="s">
        <v>1113</v>
      </c>
      <c r="C231" s="1" t="s">
        <v>264</v>
      </c>
      <c r="D231" s="1" t="s">
        <v>1316</v>
      </c>
      <c r="E231" s="37" t="s">
        <v>601</v>
      </c>
      <c r="F231" s="56" t="s">
        <v>1102</v>
      </c>
      <c r="G231" s="37" t="s">
        <v>1107</v>
      </c>
      <c r="H231" s="87">
        <f>_xlfn.XLOOKUP(E231,commit_num_files!A$2:A$319,commit_num_files!B$2:B$319)</f>
      </c>
      <c r="I231" s="42">
        <f>_xlfn.XLOOKUP(C231,cve_title!A$2:A$164,cve_title!B$2:B$164)</f>
      </c>
      <c r="J231" s="1"/>
      <c r="K231" s="28" t="s">
        <v>1461</v>
      </c>
      <c r="L231" s="1" t="s">
        <v>1149</v>
      </c>
      <c r="M231" s="1"/>
      <c r="N231" s="1" t="s">
        <v>986</v>
      </c>
    </row>
    <row x14ac:dyDescent="0.25" r="232" customHeight="1" ht="18.75">
      <c r="A232" s="1" t="s">
        <v>1460</v>
      </c>
      <c r="B232" s="1" t="s">
        <v>1113</v>
      </c>
      <c r="C232" s="1" t="s">
        <v>264</v>
      </c>
      <c r="D232" s="1" t="s">
        <v>1316</v>
      </c>
      <c r="E232" s="37" t="s">
        <v>601</v>
      </c>
      <c r="F232" s="56" t="s">
        <v>1102</v>
      </c>
      <c r="G232" s="37" t="s">
        <v>1107</v>
      </c>
      <c r="H232" s="69">
        <f>_xlfn.XLOOKUP(E232,commit_num_files!A$2:A$319,commit_num_files!B$2:B$319)</f>
      </c>
      <c r="I232" s="15">
        <f>_xlfn.XLOOKUP(C232,cve_title!A$2:A$164,cve_title!B$2:B$164)</f>
      </c>
      <c r="J232" s="1"/>
      <c r="K232" s="28" t="s">
        <v>1461</v>
      </c>
      <c r="L232" s="1" t="s">
        <v>1149</v>
      </c>
      <c r="M232" s="1"/>
      <c r="N232" s="1" t="s">
        <v>987</v>
      </c>
    </row>
    <row x14ac:dyDescent="0.25" r="233" customHeight="1" ht="18.75">
      <c r="A233" s="1" t="s">
        <v>1460</v>
      </c>
      <c r="B233" s="1" t="s">
        <v>1113</v>
      </c>
      <c r="C233" s="1" t="s">
        <v>264</v>
      </c>
      <c r="D233" s="1" t="s">
        <v>1316</v>
      </c>
      <c r="E233" s="37" t="s">
        <v>601</v>
      </c>
      <c r="F233" s="56" t="s">
        <v>1102</v>
      </c>
      <c r="G233" s="37" t="s">
        <v>1107</v>
      </c>
      <c r="H233" s="7">
        <f>_xlfn.XLOOKUP(E233,commit_num_files!A$2:A$319,commit_num_files!B$2:B$319)</f>
      </c>
      <c r="I233" s="15">
        <f>_xlfn.XLOOKUP(C233,cve_title!A$2:A$164,cve_title!B$2:B$164)</f>
      </c>
      <c r="J233" s="1"/>
      <c r="K233" s="28" t="s">
        <v>1461</v>
      </c>
      <c r="L233" s="1" t="s">
        <v>1149</v>
      </c>
      <c r="M233" s="1"/>
      <c r="N233" s="1" t="s">
        <v>988</v>
      </c>
    </row>
    <row x14ac:dyDescent="0.25" r="234" customHeight="1" ht="18.75">
      <c r="A234" s="1" t="s">
        <v>1460</v>
      </c>
      <c r="B234" s="1" t="s">
        <v>1113</v>
      </c>
      <c r="C234" s="1" t="s">
        <v>264</v>
      </c>
      <c r="D234" s="1" t="s">
        <v>1316</v>
      </c>
      <c r="E234" s="37" t="s">
        <v>601</v>
      </c>
      <c r="F234" s="56" t="s">
        <v>1103</v>
      </c>
      <c r="G234" s="37" t="s">
        <v>1107</v>
      </c>
      <c r="H234" s="7">
        <f>_xlfn.XLOOKUP(E234,commit_num_files!A$2:A$319,commit_num_files!B$2:B$319)</f>
      </c>
      <c r="I234" s="15">
        <f>_xlfn.XLOOKUP(C234,cve_title!A$2:A$164,cve_title!B$2:B$164)</f>
      </c>
      <c r="J234" s="1"/>
      <c r="K234" s="28" t="s">
        <v>1461</v>
      </c>
      <c r="L234" s="1" t="s">
        <v>1149</v>
      </c>
      <c r="M234" s="1"/>
      <c r="N234" s="1"/>
    </row>
    <row x14ac:dyDescent="0.25" r="235" customHeight="1" ht="18.75">
      <c r="A235" s="1" t="s">
        <v>1460</v>
      </c>
      <c r="B235" s="1" t="s">
        <v>1113</v>
      </c>
      <c r="C235" s="1" t="s">
        <v>264</v>
      </c>
      <c r="D235" s="1" t="s">
        <v>1316</v>
      </c>
      <c r="E235" s="37" t="s">
        <v>601</v>
      </c>
      <c r="F235" s="56" t="s">
        <v>1104</v>
      </c>
      <c r="G235" s="37" t="s">
        <v>1107</v>
      </c>
      <c r="H235" s="7">
        <f>_xlfn.XLOOKUP(E235,commit_num_files!A$2:A$319,commit_num_files!B$2:B$319)</f>
      </c>
      <c r="I235" s="15">
        <f>_xlfn.XLOOKUP(C235,cve_title!A$2:A$164,cve_title!B$2:B$164)</f>
      </c>
      <c r="J235" s="1"/>
      <c r="K235" s="1" t="s">
        <v>1461</v>
      </c>
      <c r="L235" s="44" t="s">
        <v>1149</v>
      </c>
      <c r="M235" s="1"/>
      <c r="N235" s="1"/>
    </row>
    <row x14ac:dyDescent="0.25" r="236" customHeight="1" ht="18.75">
      <c r="A236" s="22" t="s">
        <v>1462</v>
      </c>
      <c r="B236" s="22" t="s">
        <v>1113</v>
      </c>
      <c r="C236" s="22" t="s">
        <v>266</v>
      </c>
      <c r="D236" s="22" t="s">
        <v>1254</v>
      </c>
      <c r="E236" s="24" t="s">
        <v>589</v>
      </c>
      <c r="F236" s="71" t="s">
        <v>1100</v>
      </c>
      <c r="G236" s="24" t="s">
        <v>1106</v>
      </c>
      <c r="H236" s="41">
        <f>_xlfn.XLOOKUP(E236,commit_num_files!A$2:A$319,commit_num_files!B$2:B$319)</f>
      </c>
      <c r="I236" s="42">
        <f>_xlfn.XLOOKUP(C236,cve_title!A$2:A$164,cve_title!B$2:B$164)</f>
      </c>
      <c r="J236" s="22"/>
      <c r="K236" s="22" t="s">
        <v>1463</v>
      </c>
      <c r="L236" s="22" t="s">
        <v>1149</v>
      </c>
      <c r="M236" s="22"/>
      <c r="N236" s="22"/>
    </row>
    <row x14ac:dyDescent="0.25" r="237" customHeight="1" ht="18.75">
      <c r="A237" s="44" t="s">
        <v>1462</v>
      </c>
      <c r="B237" s="44" t="s">
        <v>1113</v>
      </c>
      <c r="C237" s="44" t="s">
        <v>266</v>
      </c>
      <c r="D237" s="44" t="s">
        <v>1254</v>
      </c>
      <c r="E237" s="46" t="s">
        <v>589</v>
      </c>
      <c r="F237" s="58" t="s">
        <v>1100</v>
      </c>
      <c r="G237" s="46" t="s">
        <v>1107</v>
      </c>
      <c r="H237" s="7">
        <f>_xlfn.XLOOKUP(E237,commit_num_files!A$2:A$319,commit_num_files!B$2:B$319)</f>
      </c>
      <c r="I237" s="15">
        <f>_xlfn.XLOOKUP(C237,cve_title!A$2:A$164,cve_title!B$2:B$164)</f>
      </c>
      <c r="J237" s="44"/>
      <c r="K237" s="44" t="s">
        <v>1463</v>
      </c>
      <c r="L237" s="44" t="s">
        <v>1149</v>
      </c>
      <c r="M237" s="44"/>
      <c r="N237" s="44"/>
    </row>
    <row x14ac:dyDescent="0.25" r="238" customHeight="1" ht="18.75">
      <c r="A238" s="1" t="s">
        <v>1464</v>
      </c>
      <c r="B238" s="1" t="s">
        <v>1113</v>
      </c>
      <c r="C238" s="1" t="s">
        <v>268</v>
      </c>
      <c r="D238" s="1" t="s">
        <v>1144</v>
      </c>
      <c r="E238" s="37" t="s">
        <v>503</v>
      </c>
      <c r="F238" s="56" t="s">
        <v>1100</v>
      </c>
      <c r="G238" s="37" t="s">
        <v>1107</v>
      </c>
      <c r="H238" s="34">
        <f>_xlfn.XLOOKUP(E238,commit_num_files!A$2:A$319,commit_num_files!B$2:B$319)</f>
      </c>
      <c r="I238" s="38">
        <f>_xlfn.XLOOKUP(C238,cve_title!A$2:A$164,cve_title!B$2:B$164)</f>
      </c>
      <c r="J238" s="1"/>
      <c r="K238" s="28" t="s">
        <v>1465</v>
      </c>
      <c r="L238" s="1" t="s">
        <v>1149</v>
      </c>
      <c r="M238" s="96" t="s">
        <v>1466</v>
      </c>
      <c r="N238" s="1"/>
    </row>
    <row x14ac:dyDescent="0.25" r="239" customHeight="1" ht="18.75">
      <c r="A239" s="29" t="s">
        <v>1467</v>
      </c>
      <c r="B239" s="29" t="s">
        <v>1113</v>
      </c>
      <c r="C239" s="29" t="s">
        <v>270</v>
      </c>
      <c r="D239" s="29" t="s">
        <v>1468</v>
      </c>
      <c r="E239" s="31" t="s">
        <v>574</v>
      </c>
      <c r="F239" s="76" t="s">
        <v>1102</v>
      </c>
      <c r="G239" s="31" t="s">
        <v>1107</v>
      </c>
      <c r="H239" s="34">
        <f>_xlfn.XLOOKUP(E239,commit_num_files!A$2:A$319,commit_num_files!B$2:B$319)</f>
      </c>
      <c r="I239" s="38">
        <f>_xlfn.XLOOKUP(C239,cve_title!A$2:A$164,cve_title!B$2:B$164)</f>
      </c>
      <c r="J239" s="29"/>
      <c r="K239" s="29" t="s">
        <v>1469</v>
      </c>
      <c r="L239" s="29" t="s">
        <v>1149</v>
      </c>
      <c r="M239" s="29"/>
      <c r="N239" s="29"/>
    </row>
    <row x14ac:dyDescent="0.25" r="240" customHeight="1" ht="18.75">
      <c r="A240" s="1" t="s">
        <v>1470</v>
      </c>
      <c r="B240" s="1" t="s">
        <v>1113</v>
      </c>
      <c r="C240" s="1" t="s">
        <v>272</v>
      </c>
      <c r="D240" s="1" t="s">
        <v>1293</v>
      </c>
      <c r="E240" s="37" t="s">
        <v>584</v>
      </c>
      <c r="F240" s="76" t="s">
        <v>1102</v>
      </c>
      <c r="G240" s="37" t="s">
        <v>1107</v>
      </c>
      <c r="H240" s="7">
        <f>_xlfn.XLOOKUP(E240,commit_num_files!A$2:A$319,commit_num_files!B$2:B$319)</f>
      </c>
      <c r="I240" s="15">
        <f>_xlfn.XLOOKUP(C240,cve_title!A$2:A$164,cve_title!B$2:B$164)</f>
      </c>
      <c r="J240" s="1"/>
      <c r="K240" s="28" t="s">
        <v>1471</v>
      </c>
      <c r="L240" s="1" t="s">
        <v>1149</v>
      </c>
      <c r="M240" s="1"/>
      <c r="N240" s="1"/>
    </row>
    <row x14ac:dyDescent="0.25" r="241" customHeight="1" ht="18.75">
      <c r="A241" s="29" t="s">
        <v>1472</v>
      </c>
      <c r="B241" s="29" t="s">
        <v>1113</v>
      </c>
      <c r="C241" s="29" t="s">
        <v>274</v>
      </c>
      <c r="D241" s="29" t="s">
        <v>1238</v>
      </c>
      <c r="E241" s="31" t="s">
        <v>508</v>
      </c>
      <c r="F241" s="76" t="s">
        <v>1102</v>
      </c>
      <c r="G241" s="31" t="s">
        <v>1107</v>
      </c>
      <c r="H241" s="41">
        <f>_xlfn.XLOOKUP(E241,commit_num_files!A$2:A$319,commit_num_files!B$2:B$319)</f>
      </c>
      <c r="I241" s="38">
        <f>_xlfn.XLOOKUP(C241,cve_title!A$2:A$164,cve_title!B$2:B$164)</f>
      </c>
      <c r="J241" s="29"/>
      <c r="K241" s="35" t="s">
        <v>1473</v>
      </c>
      <c r="L241" s="29" t="s">
        <v>1149</v>
      </c>
      <c r="M241" s="29"/>
      <c r="N241" s="29"/>
    </row>
    <row x14ac:dyDescent="0.25" r="242" customHeight="1" ht="18.75">
      <c r="A242" s="1" t="s">
        <v>1474</v>
      </c>
      <c r="B242" s="1" t="s">
        <v>1113</v>
      </c>
      <c r="C242" s="1" t="s">
        <v>276</v>
      </c>
      <c r="D242" s="1" t="s">
        <v>1147</v>
      </c>
      <c r="E242" s="37" t="s">
        <v>549</v>
      </c>
      <c r="F242" s="56" t="s">
        <v>1100</v>
      </c>
      <c r="G242" s="31" t="s">
        <v>1106</v>
      </c>
      <c r="H242" s="34">
        <f>_xlfn.XLOOKUP(E242,commit_num_files!A$2:A$319,commit_num_files!B$2:B$319)</f>
      </c>
      <c r="I242" s="38">
        <f>_xlfn.XLOOKUP(C242,cve_title!A$2:A$164,cve_title!B$2:B$164)</f>
      </c>
      <c r="J242" s="1"/>
      <c r="K242" s="1" t="s">
        <v>1475</v>
      </c>
      <c r="L242" s="1" t="s">
        <v>1149</v>
      </c>
      <c r="M242" s="1"/>
      <c r="N242" s="1"/>
    </row>
    <row x14ac:dyDescent="0.25" r="243" customHeight="1" ht="18.75">
      <c r="A243" s="29" t="s">
        <v>1476</v>
      </c>
      <c r="B243" s="29" t="s">
        <v>1113</v>
      </c>
      <c r="C243" s="29" t="s">
        <v>278</v>
      </c>
      <c r="D243" s="29" t="s">
        <v>1147</v>
      </c>
      <c r="E243" s="31" t="s">
        <v>523</v>
      </c>
      <c r="F243" s="76" t="s">
        <v>1102</v>
      </c>
      <c r="G243" s="31" t="s">
        <v>1107</v>
      </c>
      <c r="H243" s="34">
        <f>_xlfn.XLOOKUP(E243,commit_num_files!A$2:A$319,commit_num_files!B$2:B$319)</f>
      </c>
      <c r="I243" s="15">
        <f>_xlfn.XLOOKUP(C243,cve_title!A$2:A$164,cve_title!B$2:B$164)</f>
      </c>
      <c r="J243" s="29"/>
      <c r="K243" s="35" t="s">
        <v>1477</v>
      </c>
      <c r="L243" s="29" t="s">
        <v>1149</v>
      </c>
      <c r="M243" s="29" t="s">
        <v>1478</v>
      </c>
      <c r="N243" s="29"/>
    </row>
    <row x14ac:dyDescent="0.25" r="244" customHeight="1" ht="18.75">
      <c r="A244" s="1" t="s">
        <v>1479</v>
      </c>
      <c r="B244" s="1" t="s">
        <v>1113</v>
      </c>
      <c r="C244" s="1" t="s">
        <v>280</v>
      </c>
      <c r="D244" s="1" t="s">
        <v>1147</v>
      </c>
      <c r="E244" s="37" t="s">
        <v>556</v>
      </c>
      <c r="F244" s="56" t="s">
        <v>1100</v>
      </c>
      <c r="G244" s="37" t="s">
        <v>1107</v>
      </c>
      <c r="H244" s="7">
        <f>_xlfn.XLOOKUP(E244,commit_num_files!A$2:A$319,commit_num_files!B$2:B$319)</f>
      </c>
      <c r="I244" s="38">
        <f>_xlfn.XLOOKUP(C244,cve_title!A$2:A$164,cve_title!B$2:B$164)</f>
      </c>
      <c r="J244" s="1"/>
      <c r="K244" s="1" t="s">
        <v>1480</v>
      </c>
      <c r="L244" s="1" t="s">
        <v>1149</v>
      </c>
      <c r="M244" s="1" t="s">
        <v>1481</v>
      </c>
      <c r="N244" s="1"/>
    </row>
    <row x14ac:dyDescent="0.25" r="245" customHeight="1" ht="18.75">
      <c r="A245" s="29" t="s">
        <v>1482</v>
      </c>
      <c r="B245" s="29" t="s">
        <v>1113</v>
      </c>
      <c r="C245" s="29" t="s">
        <v>282</v>
      </c>
      <c r="D245" s="29" t="s">
        <v>1254</v>
      </c>
      <c r="E245" s="31" t="s">
        <v>607</v>
      </c>
      <c r="F245" s="76" t="s">
        <v>1100</v>
      </c>
      <c r="G245" s="31" t="s">
        <v>1107</v>
      </c>
      <c r="H245" s="34">
        <f>_xlfn.XLOOKUP(E245,commit_num_files!A$2:A$319,commit_num_files!B$2:B$319)</f>
      </c>
      <c r="I245" s="27">
        <f>_xlfn.XLOOKUP(C245,cve_title!A$2:A$164,cve_title!B$2:B$164)</f>
      </c>
      <c r="J245" s="29"/>
      <c r="K245" s="29" t="s">
        <v>1483</v>
      </c>
      <c r="L245" s="29" t="s">
        <v>1149</v>
      </c>
      <c r="M245" s="29" t="s">
        <v>1484</v>
      </c>
      <c r="N245" s="29"/>
    </row>
    <row x14ac:dyDescent="0.25" r="246" customHeight="1" ht="18.75">
      <c r="A246" s="44" t="s">
        <v>1485</v>
      </c>
      <c r="B246" s="44" t="s">
        <v>1113</v>
      </c>
      <c r="C246" s="44" t="s">
        <v>284</v>
      </c>
      <c r="D246" s="44" t="s">
        <v>1130</v>
      </c>
      <c r="E246" s="46" t="s">
        <v>526</v>
      </c>
      <c r="F246" s="58" t="s">
        <v>1100</v>
      </c>
      <c r="G246" s="46" t="s">
        <v>1106</v>
      </c>
      <c r="H246" s="7">
        <f>_xlfn.XLOOKUP(E246,commit_num_files!A$2:A$319,commit_num_files!B$2:B$319)</f>
      </c>
      <c r="I246" s="15">
        <f>_xlfn.XLOOKUP(C246,cve_title!A$2:A$164,cve_title!B$2:B$164)</f>
      </c>
      <c r="J246" s="1"/>
      <c r="K246" s="50" t="s">
        <v>1486</v>
      </c>
      <c r="L246" s="44" t="s">
        <v>1149</v>
      </c>
      <c r="M246" s="1"/>
      <c r="N246" s="1"/>
    </row>
    <row x14ac:dyDescent="0.25" r="247" customHeight="1" ht="18.75">
      <c r="A247" s="44" t="s">
        <v>1487</v>
      </c>
      <c r="B247" s="44" t="s">
        <v>1113</v>
      </c>
      <c r="C247" s="44" t="s">
        <v>286</v>
      </c>
      <c r="D247" s="44" t="s">
        <v>1147</v>
      </c>
      <c r="E247" s="46" t="s">
        <v>540</v>
      </c>
      <c r="F247" s="58" t="s">
        <v>1100</v>
      </c>
      <c r="G247" s="46" t="s">
        <v>1106</v>
      </c>
      <c r="H247" s="34">
        <f>_xlfn.XLOOKUP(E247,commit_num_files!A$2:A$319,commit_num_files!B$2:B$319)</f>
      </c>
      <c r="I247" s="38">
        <f>_xlfn.XLOOKUP(C247,cve_title!A$2:A$164,cve_title!B$2:B$164)</f>
      </c>
      <c r="J247" s="44"/>
      <c r="K247" s="44" t="s">
        <v>1488</v>
      </c>
      <c r="L247" s="44" t="s">
        <v>1149</v>
      </c>
      <c r="M247" s="44"/>
      <c r="N247" s="44"/>
    </row>
    <row x14ac:dyDescent="0.25" r="248" customHeight="1" ht="18.75">
      <c r="A248" s="44" t="s">
        <v>1489</v>
      </c>
      <c r="B248" s="44" t="s">
        <v>1113</v>
      </c>
      <c r="C248" s="44" t="s">
        <v>288</v>
      </c>
      <c r="D248" s="44" t="s">
        <v>1254</v>
      </c>
      <c r="E248" s="46" t="s">
        <v>597</v>
      </c>
      <c r="F248" s="44" t="s">
        <v>1102</v>
      </c>
      <c r="G248" s="31" t="s">
        <v>1106</v>
      </c>
      <c r="H248" s="49">
        <f>_xlfn.XLOOKUP(E248,commit_num_files!A$2:A$319,commit_num_files!B$2:B$319)</f>
      </c>
      <c r="I248" s="15">
        <f>_xlfn.XLOOKUP(C248,cve_title!A$2:A$164,cve_title!B$2:B$164)</f>
      </c>
      <c r="J248" s="1"/>
      <c r="K248" s="50" t="s">
        <v>1490</v>
      </c>
      <c r="L248" s="44" t="s">
        <v>1149</v>
      </c>
      <c r="M248" s="1"/>
      <c r="N248" s="44" t="s">
        <v>1491</v>
      </c>
    </row>
    <row x14ac:dyDescent="0.25" r="249" customHeight="1" ht="18.75">
      <c r="A249" s="1" t="s">
        <v>1492</v>
      </c>
      <c r="B249" s="1" t="s">
        <v>1113</v>
      </c>
      <c r="C249" s="1" t="s">
        <v>292</v>
      </c>
      <c r="D249" s="1" t="s">
        <v>1167</v>
      </c>
      <c r="E249" s="37" t="s">
        <v>552</v>
      </c>
      <c r="F249" s="56" t="s">
        <v>1100</v>
      </c>
      <c r="G249" s="37" t="s">
        <v>1107</v>
      </c>
      <c r="H249" s="41">
        <f>_xlfn.XLOOKUP(E249,commit_num_files!A$2:A$319,commit_num_files!B$2:B$319)</f>
      </c>
      <c r="I249" s="42">
        <f>_xlfn.XLOOKUP(C249,cve_title!A$2:A$164,cve_title!B$2:B$164)</f>
      </c>
      <c r="J249" s="1"/>
      <c r="K249" s="28" t="s">
        <v>1493</v>
      </c>
      <c r="L249" s="1" t="s">
        <v>1149</v>
      </c>
      <c r="M249" s="1"/>
      <c r="N249" s="1"/>
    </row>
    <row x14ac:dyDescent="0.25" r="250" customHeight="1" ht="18.75">
      <c r="A250" s="1" t="s">
        <v>1492</v>
      </c>
      <c r="B250" s="1" t="s">
        <v>1113</v>
      </c>
      <c r="C250" s="1" t="s">
        <v>292</v>
      </c>
      <c r="D250" s="1" t="s">
        <v>1167</v>
      </c>
      <c r="E250" s="37" t="s">
        <v>552</v>
      </c>
      <c r="F250" s="56" t="s">
        <v>1104</v>
      </c>
      <c r="G250" s="37" t="s">
        <v>1107</v>
      </c>
      <c r="H250" s="7">
        <f>_xlfn.XLOOKUP(E250,commit_num_files!A$2:A$319,commit_num_files!B$2:B$319)</f>
      </c>
      <c r="I250" s="15">
        <f>_xlfn.XLOOKUP(C250,cve_title!A$2:A$164,cve_title!B$2:B$164)</f>
      </c>
      <c r="J250" s="1"/>
      <c r="K250" s="28" t="s">
        <v>1493</v>
      </c>
      <c r="L250" s="1" t="s">
        <v>1149</v>
      </c>
      <c r="M250" s="1"/>
      <c r="N250" s="1"/>
    </row>
    <row x14ac:dyDescent="0.25" r="251" customHeight="1" ht="18.75">
      <c r="A251" s="22" t="s">
        <v>1494</v>
      </c>
      <c r="B251" s="22" t="s">
        <v>1113</v>
      </c>
      <c r="C251" s="22" t="s">
        <v>294</v>
      </c>
      <c r="D251" s="22" t="s">
        <v>1167</v>
      </c>
      <c r="E251" s="24" t="s">
        <v>543</v>
      </c>
      <c r="F251" s="71" t="s">
        <v>1102</v>
      </c>
      <c r="G251" s="24" t="s">
        <v>1107</v>
      </c>
      <c r="H251" s="41">
        <f>_xlfn.XLOOKUP(E251,commit_num_files!A$2:A$319,commit_num_files!B$2:B$319)</f>
      </c>
      <c r="I251" s="42">
        <f>_xlfn.XLOOKUP(C251,cve_title!A$2:A$164,cve_title!B$2:B$164)</f>
      </c>
      <c r="J251" s="22"/>
      <c r="K251" s="43" t="s">
        <v>1495</v>
      </c>
      <c r="L251" s="22" t="s">
        <v>1149</v>
      </c>
      <c r="M251" s="22"/>
      <c r="N251" s="22"/>
    </row>
    <row x14ac:dyDescent="0.25" r="252" customHeight="1" ht="18.75">
      <c r="A252" s="44" t="s">
        <v>1494</v>
      </c>
      <c r="B252" s="44" t="s">
        <v>1113</v>
      </c>
      <c r="C252" s="44" t="s">
        <v>294</v>
      </c>
      <c r="D252" s="44" t="s">
        <v>1167</v>
      </c>
      <c r="E252" s="46" t="s">
        <v>543</v>
      </c>
      <c r="F252" s="58" t="s">
        <v>1104</v>
      </c>
      <c r="G252" s="46" t="s">
        <v>1107</v>
      </c>
      <c r="H252" s="49">
        <f>_xlfn.XLOOKUP(E252,commit_num_files!A$2:A$319,commit_num_files!B$2:B$319)</f>
      </c>
      <c r="I252" s="15">
        <f>_xlfn.XLOOKUP(C252,cve_title!A$2:A$164,cve_title!B$2:B$164)</f>
      </c>
      <c r="J252" s="1"/>
      <c r="K252" s="50" t="s">
        <v>1495</v>
      </c>
      <c r="L252" s="44" t="s">
        <v>1149</v>
      </c>
      <c r="M252" s="1"/>
      <c r="N252" s="1"/>
    </row>
    <row x14ac:dyDescent="0.25" r="253" customHeight="1" ht="18.75">
      <c r="A253" s="1" t="s">
        <v>1496</v>
      </c>
      <c r="B253" s="1" t="s">
        <v>1113</v>
      </c>
      <c r="C253" s="1" t="s">
        <v>296</v>
      </c>
      <c r="D253" s="1" t="s">
        <v>1442</v>
      </c>
      <c r="E253" s="37" t="s">
        <v>498</v>
      </c>
      <c r="F253" s="56" t="s">
        <v>1100</v>
      </c>
      <c r="G253" s="46" t="s">
        <v>1106</v>
      </c>
      <c r="H253" s="49">
        <f>_xlfn.XLOOKUP(E253,commit_num_files!A$2:A$319,commit_num_files!B$2:B$319)</f>
      </c>
      <c r="I253" s="38">
        <f>_xlfn.XLOOKUP(C253,cve_title!A$2:A$164,cve_title!B$2:B$164)</f>
      </c>
      <c r="J253" s="1"/>
      <c r="K253" s="28" t="s">
        <v>1497</v>
      </c>
      <c r="L253" s="1" t="s">
        <v>1149</v>
      </c>
      <c r="M253" s="1"/>
      <c r="N253" s="1"/>
    </row>
    <row x14ac:dyDescent="0.25" r="254" customHeight="1" ht="18.75">
      <c r="A254" s="29" t="s">
        <v>1498</v>
      </c>
      <c r="B254" s="29" t="s">
        <v>1113</v>
      </c>
      <c r="C254" s="29" t="s">
        <v>298</v>
      </c>
      <c r="D254" s="29" t="s">
        <v>1293</v>
      </c>
      <c r="E254" s="31" t="s">
        <v>585</v>
      </c>
      <c r="F254" s="76" t="s">
        <v>1100</v>
      </c>
      <c r="G254" s="31" t="s">
        <v>1106</v>
      </c>
      <c r="H254" s="34">
        <f>_xlfn.XLOOKUP(E254,commit_num_files!A$2:A$319,commit_num_files!B$2:B$319)</f>
      </c>
      <c r="I254" s="27">
        <f>_xlfn.XLOOKUP(C254,cve_title!A$2:A$164,cve_title!B$2:B$164)</f>
      </c>
      <c r="J254" s="29"/>
      <c r="K254" s="29" t="s">
        <v>1499</v>
      </c>
      <c r="L254" s="29" t="s">
        <v>1149</v>
      </c>
      <c r="M254" s="29"/>
      <c r="N254" s="29"/>
    </row>
    <row x14ac:dyDescent="0.25" r="255" customHeight="1" ht="18.75">
      <c r="A255" s="1" t="s">
        <v>1500</v>
      </c>
      <c r="B255" s="1" t="s">
        <v>1113</v>
      </c>
      <c r="C255" s="1" t="s">
        <v>300</v>
      </c>
      <c r="D255" s="1" t="s">
        <v>1254</v>
      </c>
      <c r="E255" s="37" t="s">
        <v>551</v>
      </c>
      <c r="F255" s="83" t="s">
        <v>1100</v>
      </c>
      <c r="G255" s="31" t="s">
        <v>1107</v>
      </c>
      <c r="H255" s="34">
        <f>_xlfn.XLOOKUP(E255,commit_num_files!A$2:A$319,commit_num_files!B$2:B$319)</f>
      </c>
      <c r="I255" s="15">
        <f>_xlfn.XLOOKUP(C255,cve_title!A$2:A$164,cve_title!B$2:B$164)</f>
      </c>
      <c r="J255" s="1"/>
      <c r="K255" s="1" t="s">
        <v>1501</v>
      </c>
      <c r="L255" s="1" t="s">
        <v>1149</v>
      </c>
      <c r="M255" s="1"/>
      <c r="N255" s="1"/>
    </row>
    <row x14ac:dyDescent="0.25" r="256" customHeight="1" ht="18.75">
      <c r="A256" s="29" t="s">
        <v>1502</v>
      </c>
      <c r="B256" s="29" t="s">
        <v>1113</v>
      </c>
      <c r="C256" s="29" t="s">
        <v>302</v>
      </c>
      <c r="D256" s="29" t="s">
        <v>1234</v>
      </c>
      <c r="E256" s="31" t="s">
        <v>591</v>
      </c>
      <c r="F256" s="58" t="s">
        <v>1100</v>
      </c>
      <c r="G256" s="31" t="s">
        <v>1106</v>
      </c>
      <c r="H256" s="34">
        <f>_xlfn.XLOOKUP(E256,commit_num_files!A$2:A$319,commit_num_files!B$2:B$319)</f>
      </c>
      <c r="I256" s="38">
        <f>_xlfn.XLOOKUP(C256,cve_title!A$2:A$164,cve_title!B$2:B$164)</f>
      </c>
      <c r="J256" s="29"/>
      <c r="K256" s="35" t="s">
        <v>1503</v>
      </c>
      <c r="L256" s="29" t="s">
        <v>1149</v>
      </c>
      <c r="M256" s="29"/>
      <c r="N256" s="29"/>
    </row>
    <row x14ac:dyDescent="0.25" r="257" customHeight="1" ht="18.75">
      <c r="A257" s="1" t="s">
        <v>1504</v>
      </c>
      <c r="B257" s="1" t="s">
        <v>1113</v>
      </c>
      <c r="C257" s="1" t="s">
        <v>304</v>
      </c>
      <c r="D257" s="1" t="s">
        <v>1144</v>
      </c>
      <c r="E257" s="37" t="s">
        <v>577</v>
      </c>
      <c r="F257" s="56" t="s">
        <v>1100</v>
      </c>
      <c r="G257" s="37" t="s">
        <v>1106</v>
      </c>
      <c r="H257" s="34">
        <f>_xlfn.XLOOKUP(E257,commit_num_files!A$2:A$319,commit_num_files!B$2:B$319)</f>
      </c>
      <c r="I257" s="38">
        <f>_xlfn.XLOOKUP(C257,cve_title!A$2:A$164,cve_title!B$2:B$164)</f>
      </c>
      <c r="J257" s="1"/>
      <c r="K257" s="1" t="s">
        <v>1505</v>
      </c>
      <c r="L257" s="1" t="s">
        <v>1149</v>
      </c>
      <c r="M257" s="1"/>
      <c r="N257" s="1"/>
    </row>
    <row x14ac:dyDescent="0.25" r="258" customHeight="1" ht="18.75">
      <c r="A258" s="22" t="s">
        <v>1506</v>
      </c>
      <c r="B258" s="22" t="s">
        <v>1113</v>
      </c>
      <c r="C258" s="22" t="s">
        <v>306</v>
      </c>
      <c r="D258" s="22" t="s">
        <v>1147</v>
      </c>
      <c r="E258" s="24" t="s">
        <v>555</v>
      </c>
      <c r="F258" s="71" t="s">
        <v>1097</v>
      </c>
      <c r="G258" s="24" t="s">
        <v>1107</v>
      </c>
      <c r="H258" s="41">
        <f>_xlfn.XLOOKUP(E258,commit_num_files!A$2:A$319,commit_num_files!B$2:B$319)</f>
      </c>
      <c r="I258" s="15">
        <f>_xlfn.XLOOKUP(C258,cve_title!A$2:A$164,cve_title!B$2:B$164)</f>
      </c>
      <c r="J258" s="22"/>
      <c r="K258" s="43" t="s">
        <v>1507</v>
      </c>
      <c r="L258" s="22" t="s">
        <v>1149</v>
      </c>
      <c r="M258" s="22"/>
      <c r="N258" s="22"/>
    </row>
    <row x14ac:dyDescent="0.25" r="259" customHeight="1" ht="18.75">
      <c r="A259" s="44" t="s">
        <v>1506</v>
      </c>
      <c r="B259" s="44" t="s">
        <v>1113</v>
      </c>
      <c r="C259" s="44" t="s">
        <v>306</v>
      </c>
      <c r="D259" s="44" t="s">
        <v>1147</v>
      </c>
      <c r="E259" s="46" t="s">
        <v>555</v>
      </c>
      <c r="F259" s="58" t="s">
        <v>1104</v>
      </c>
      <c r="G259" s="46" t="s">
        <v>1107</v>
      </c>
      <c r="H259" s="49">
        <f>_xlfn.XLOOKUP(E259,commit_num_files!A$2:A$319,commit_num_files!B$2:B$319)</f>
      </c>
      <c r="I259" s="15">
        <f>_xlfn.XLOOKUP(C259,cve_title!A$2:A$164,cve_title!B$2:B$164)</f>
      </c>
      <c r="J259" s="1"/>
      <c r="K259" s="35" t="s">
        <v>1507</v>
      </c>
      <c r="L259" s="44" t="s">
        <v>1149</v>
      </c>
      <c r="M259" s="1"/>
      <c r="N259" s="1"/>
    </row>
    <row x14ac:dyDescent="0.25" r="260" customHeight="1" ht="18.75">
      <c r="A260" s="1" t="s">
        <v>1508</v>
      </c>
      <c r="B260" s="1" t="s">
        <v>1113</v>
      </c>
      <c r="C260" s="1" t="s">
        <v>308</v>
      </c>
      <c r="D260" s="1" t="s">
        <v>1167</v>
      </c>
      <c r="E260" s="37" t="s">
        <v>522</v>
      </c>
      <c r="F260" s="56" t="s">
        <v>1097</v>
      </c>
      <c r="G260" s="37" t="s">
        <v>1107</v>
      </c>
      <c r="H260" s="7">
        <f>_xlfn.XLOOKUP(E260,commit_num_files!A$2:A$319,commit_num_files!B$2:B$319)</f>
      </c>
      <c r="I260" s="42">
        <f>_xlfn.XLOOKUP(C260,cve_title!A$2:A$164,cve_title!B$2:B$164)</f>
      </c>
      <c r="J260" s="1"/>
      <c r="K260" s="1" t="s">
        <v>1509</v>
      </c>
      <c r="L260" s="1" t="s">
        <v>1149</v>
      </c>
      <c r="M260" s="1"/>
      <c r="N260" s="1"/>
    </row>
    <row x14ac:dyDescent="0.25" r="261" customHeight="1" ht="18.75">
      <c r="A261" s="89" t="s">
        <v>1508</v>
      </c>
      <c r="B261" s="89" t="s">
        <v>1113</v>
      </c>
      <c r="C261" s="89" t="s">
        <v>308</v>
      </c>
      <c r="D261" s="89" t="s">
        <v>1167</v>
      </c>
      <c r="E261" s="90" t="s">
        <v>522</v>
      </c>
      <c r="F261" s="97" t="s">
        <v>1100</v>
      </c>
      <c r="G261" s="90" t="s">
        <v>1107</v>
      </c>
      <c r="H261" s="92">
        <f>_xlfn.XLOOKUP(E261,commit_num_files!A$2:A$319,commit_num_files!B$2:B$319)</f>
      </c>
      <c r="I261" s="98">
        <f>_xlfn.XLOOKUP(C261,cve_title!A$2:A$164,cve_title!B$2:B$164)</f>
      </c>
      <c r="J261" s="89"/>
      <c r="K261" s="89" t="s">
        <v>1509</v>
      </c>
      <c r="L261" s="89" t="s">
        <v>1149</v>
      </c>
      <c r="M261" s="89"/>
      <c r="N261" s="89"/>
    </row>
    <row x14ac:dyDescent="0.25" r="262" customHeight="1" ht="18.75">
      <c r="A262" s="99" t="s">
        <v>1510</v>
      </c>
      <c r="B262" s="99" t="s">
        <v>1115</v>
      </c>
      <c r="C262" s="99" t="s">
        <v>310</v>
      </c>
      <c r="D262" s="99" t="s">
        <v>1254</v>
      </c>
      <c r="E262" s="100" t="s">
        <v>622</v>
      </c>
      <c r="F262" s="99" t="s">
        <v>1102</v>
      </c>
      <c r="G262" s="100" t="s">
        <v>1107</v>
      </c>
      <c r="H262" s="101">
        <f>_xlfn.XLOOKUP(E262,commit_num_files!A$2:A$319,commit_num_files!B$2:B$319)</f>
      </c>
      <c r="I262" s="102">
        <f>_xlfn.XLOOKUP(C262,cve_title!A$2:A$164,cve_title!B$2:B$164)</f>
      </c>
      <c r="J262" s="1"/>
      <c r="K262" s="103" t="s">
        <v>1511</v>
      </c>
      <c r="L262" s="99" t="s">
        <v>1149</v>
      </c>
      <c r="M262" s="1"/>
      <c r="N262" s="1"/>
    </row>
    <row x14ac:dyDescent="0.25" r="263" customHeight="1" ht="18.75">
      <c r="A263" s="1" t="s">
        <v>1512</v>
      </c>
      <c r="B263" s="1" t="s">
        <v>1115</v>
      </c>
      <c r="C263" s="1" t="s">
        <v>312</v>
      </c>
      <c r="D263" s="1" t="s">
        <v>1316</v>
      </c>
      <c r="E263" s="37" t="s">
        <v>612</v>
      </c>
      <c r="F263" s="56" t="s">
        <v>1100</v>
      </c>
      <c r="G263" s="37" t="s">
        <v>1106</v>
      </c>
      <c r="H263" s="7">
        <f>_xlfn.XLOOKUP(E263,commit_num_files!A$2:A$319,commit_num_files!B$2:B$319)</f>
      </c>
      <c r="I263" s="15">
        <f>_xlfn.XLOOKUP(C263,cve_title!A$2:A$164,cve_title!B$2:B$164)</f>
      </c>
      <c r="J263" s="1"/>
      <c r="K263" s="1" t="s">
        <v>1513</v>
      </c>
      <c r="L263" s="1" t="s">
        <v>1149</v>
      </c>
      <c r="M263" s="1"/>
      <c r="N263" s="1"/>
    </row>
    <row x14ac:dyDescent="0.25" r="264" customHeight="1" ht="18.75">
      <c r="A264" s="29" t="s">
        <v>1514</v>
      </c>
      <c r="B264" s="29" t="s">
        <v>1115</v>
      </c>
      <c r="C264" s="29" t="s">
        <v>314</v>
      </c>
      <c r="D264" s="29" t="s">
        <v>1130</v>
      </c>
      <c r="E264" s="31" t="s">
        <v>614</v>
      </c>
      <c r="F264" s="76" t="s">
        <v>1102</v>
      </c>
      <c r="G264" s="31" t="s">
        <v>1108</v>
      </c>
      <c r="H264" s="34">
        <f>_xlfn.XLOOKUP(E264,commit_num_files!A$2:A$319,commit_num_files!B$2:B$319)</f>
      </c>
      <c r="I264" s="38">
        <f>_xlfn.XLOOKUP(C264,cve_title!A$2:A$164,cve_title!B$2:B$164)</f>
      </c>
      <c r="J264" s="29"/>
      <c r="K264" s="29" t="s">
        <v>1515</v>
      </c>
      <c r="L264" s="29" t="s">
        <v>1149</v>
      </c>
      <c r="M264" s="29" t="s">
        <v>1516</v>
      </c>
      <c r="N264" s="29"/>
    </row>
    <row x14ac:dyDescent="0.25" r="265" customHeight="1" ht="18.75">
      <c r="A265" s="63" t="s">
        <v>1517</v>
      </c>
      <c r="B265" s="63" t="s">
        <v>1115</v>
      </c>
      <c r="C265" s="63" t="s">
        <v>316</v>
      </c>
      <c r="D265" s="63" t="s">
        <v>1254</v>
      </c>
      <c r="E265" s="104" t="s">
        <v>632</v>
      </c>
      <c r="F265" s="63" t="s">
        <v>1100</v>
      </c>
      <c r="G265" s="104" t="s">
        <v>1106</v>
      </c>
      <c r="H265" s="105">
        <f>_xlfn.XLOOKUP(E265,commit_num_files!A$2:A$319,commit_num_files!B$2:B$319)</f>
      </c>
      <c r="I265" s="106">
        <f>_xlfn.XLOOKUP(C265,cve_title!A$2:A$164,cve_title!B$2:B$164)</f>
      </c>
      <c r="J265" s="1"/>
      <c r="K265" s="107" t="s">
        <v>1518</v>
      </c>
      <c r="L265" s="63" t="s">
        <v>1149</v>
      </c>
      <c r="M265" s="1"/>
      <c r="N265" s="63" t="s">
        <v>1092</v>
      </c>
    </row>
    <row x14ac:dyDescent="0.25" r="266" customHeight="1" ht="18.75">
      <c r="A266" s="63" t="s">
        <v>1517</v>
      </c>
      <c r="B266" s="63" t="s">
        <v>1115</v>
      </c>
      <c r="C266" s="63" t="s">
        <v>316</v>
      </c>
      <c r="D266" s="63" t="s">
        <v>1254</v>
      </c>
      <c r="E266" s="104" t="s">
        <v>632</v>
      </c>
      <c r="F266" s="63" t="s">
        <v>1100</v>
      </c>
      <c r="G266" s="104" t="s">
        <v>1106</v>
      </c>
      <c r="H266" s="105">
        <f>_xlfn.XLOOKUP(E266,commit_num_files!A$2:A$319,commit_num_files!B$2:B$319)</f>
      </c>
      <c r="I266" s="106">
        <f>_xlfn.XLOOKUP(C266,cve_title!A$2:A$164,cve_title!B$2:B$164)</f>
      </c>
      <c r="J266" s="1"/>
      <c r="K266" s="107" t="s">
        <v>1518</v>
      </c>
      <c r="L266" s="63" t="s">
        <v>1149</v>
      </c>
      <c r="M266" s="1"/>
      <c r="N266" s="63" t="s">
        <v>1093</v>
      </c>
    </row>
    <row x14ac:dyDescent="0.25" r="267" customHeight="1" ht="18.75">
      <c r="A267" s="44" t="s">
        <v>1517</v>
      </c>
      <c r="B267" s="44" t="s">
        <v>1115</v>
      </c>
      <c r="C267" s="44" t="s">
        <v>316</v>
      </c>
      <c r="D267" s="44" t="s">
        <v>1254</v>
      </c>
      <c r="E267" s="46" t="s">
        <v>632</v>
      </c>
      <c r="F267" s="58" t="s">
        <v>1102</v>
      </c>
      <c r="G267" s="46" t="s">
        <v>1107</v>
      </c>
      <c r="H267" s="49">
        <f>_xlfn.XLOOKUP(E267,commit_num_files!A$2:A$319,commit_num_files!B$2:B$319)</f>
      </c>
      <c r="I267" s="15">
        <f>_xlfn.XLOOKUP(C267,cve_title!A$2:A$164,cve_title!B$2:B$164)</f>
      </c>
      <c r="J267" s="1"/>
      <c r="K267" s="50" t="s">
        <v>1518</v>
      </c>
      <c r="L267" s="44" t="s">
        <v>1149</v>
      </c>
      <c r="M267" s="1"/>
      <c r="N267" s="44" t="s">
        <v>1094</v>
      </c>
    </row>
    <row x14ac:dyDescent="0.25" r="268" customHeight="1" ht="18.75">
      <c r="A268" s="44" t="s">
        <v>1519</v>
      </c>
      <c r="B268" s="44" t="s">
        <v>1115</v>
      </c>
      <c r="C268" s="44" t="s">
        <v>318</v>
      </c>
      <c r="D268" s="44" t="s">
        <v>1238</v>
      </c>
      <c r="E268" s="46" t="s">
        <v>623</v>
      </c>
      <c r="F268" s="58" t="s">
        <v>1102</v>
      </c>
      <c r="G268" s="46" t="s">
        <v>1107</v>
      </c>
      <c r="H268" s="49">
        <f>_xlfn.XLOOKUP(E268,commit_num_files!A$2:A$319,commit_num_files!B$2:B$319)</f>
      </c>
      <c r="I268" s="38">
        <f>_xlfn.XLOOKUP(C268,cve_title!A$2:A$164,cve_title!B$2:B$164)</f>
      </c>
      <c r="J268" s="44"/>
      <c r="K268" s="50" t="s">
        <v>1520</v>
      </c>
      <c r="L268" s="29" t="s">
        <v>1149</v>
      </c>
      <c r="M268" s="44"/>
      <c r="N268" s="44"/>
    </row>
  </sheetData>
  <mergeCells count="1">
    <mergeCell ref="F1:G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40"/>
  <sheetViews>
    <sheetView workbookViewId="0"/>
  </sheetViews>
  <sheetFormatPr defaultRowHeight="15" x14ac:dyDescent="0.25"/>
  <cols>
    <col min="1" max="1" style="8" width="26.005" customWidth="1" bestFit="1"/>
    <col min="2" max="2" style="9" width="18.862142857142857" customWidth="1" bestFit="1"/>
    <col min="3" max="3" style="9" width="7.147857142857143" customWidth="1" bestFit="1"/>
    <col min="4" max="4" style="9" width="4.433571428571429" customWidth="1" bestFit="1"/>
    <col min="5" max="5" style="4" width="11.147857142857141" customWidth="1" bestFit="1"/>
    <col min="6" max="6" style="9" width="10.43357142857143" customWidth="1" bestFit="1"/>
    <col min="7" max="7" style="4" width="13.576428571428572" customWidth="1" bestFit="1"/>
    <col min="8" max="8" style="16" width="13.576428571428572" customWidth="1" bestFit="1"/>
    <col min="9" max="9" style="16" width="13.576428571428572" customWidth="1" bestFit="1"/>
    <col min="10" max="10" style="16" width="13.576428571428572" customWidth="1" bestFit="1"/>
    <col min="11" max="11" style="17" width="11.576428571428572" customWidth="1" bestFit="1"/>
  </cols>
  <sheetData>
    <row x14ac:dyDescent="0.25" r="1" customHeight="1" ht="18.75">
      <c r="A1" s="5"/>
      <c r="B1" s="6"/>
      <c r="C1" s="6"/>
      <c r="D1" s="6"/>
      <c r="E1" s="1"/>
      <c r="F1" s="6"/>
      <c r="G1" s="1"/>
      <c r="H1" s="11"/>
      <c r="I1" s="11"/>
      <c r="J1" s="11"/>
      <c r="K1" s="12"/>
    </row>
    <row x14ac:dyDescent="0.25" r="2" customHeight="1" ht="18.75">
      <c r="A2" s="5"/>
      <c r="B2" s="6"/>
      <c r="C2" s="6"/>
      <c r="D2" s="6"/>
      <c r="E2" s="1"/>
      <c r="F2" s="6"/>
      <c r="G2" s="1"/>
      <c r="H2" s="11"/>
      <c r="I2" s="11"/>
      <c r="J2" s="11"/>
      <c r="K2" s="12"/>
    </row>
    <row x14ac:dyDescent="0.25" r="3" customHeight="1" ht="18.75">
      <c r="A3" s="5" t="s">
        <v>1110</v>
      </c>
      <c r="B3" s="6" t="s">
        <v>641</v>
      </c>
      <c r="C3" s="6"/>
      <c r="D3" s="6"/>
      <c r="E3" s="1"/>
      <c r="F3" s="6"/>
      <c r="G3" s="1"/>
      <c r="H3" s="11"/>
      <c r="I3" s="11"/>
      <c r="J3" s="11"/>
      <c r="K3" s="12"/>
    </row>
    <row x14ac:dyDescent="0.25" r="4" customHeight="1" ht="18.75">
      <c r="A4" s="5" t="s">
        <v>642</v>
      </c>
      <c r="B4" s="6" t="s">
        <v>1107</v>
      </c>
      <c r="C4" s="6" t="s">
        <v>1106</v>
      </c>
      <c r="D4" s="6" t="s">
        <v>1108</v>
      </c>
      <c r="E4" s="1" t="s">
        <v>1111</v>
      </c>
      <c r="F4" s="6" t="s">
        <v>643</v>
      </c>
      <c r="G4" s="1"/>
      <c r="H4" s="13" t="s">
        <v>1107</v>
      </c>
      <c r="I4" s="13" t="s">
        <v>1106</v>
      </c>
      <c r="J4" s="13" t="s">
        <v>1108</v>
      </c>
      <c r="K4" s="12"/>
    </row>
    <row x14ac:dyDescent="0.25" r="5" customHeight="1" ht="18.75">
      <c r="A5" s="2" t="s">
        <v>1112</v>
      </c>
      <c r="B5" s="7">
        <v>24</v>
      </c>
      <c r="C5" s="7">
        <v>18</v>
      </c>
      <c r="D5" s="6"/>
      <c r="E5" s="1"/>
      <c r="F5" s="7">
        <v>42</v>
      </c>
      <c r="G5" s="2" t="s">
        <v>1112</v>
      </c>
      <c r="H5" s="14">
        <f>GETPIVOTDATA("Defect Type",$A$3,"Defect Type",$G5,"Defect Qualifier",H$4)/GETPIVOTDATA("Defect Type",$A$3)</f>
      </c>
      <c r="I5" s="14">
        <f>GETPIVOTDATA("Defect Type",$A$3,"Defect Type",$G5,"Defect Qualifier",I$4)/GETPIVOTDATA("Defect Type",$A$3)</f>
      </c>
      <c r="J5" s="14">
        <f>GETPIVOTDATA("Defect Type",$A$3,"Defect Type",$G5,"Defect Qualifier",J$4)/GETPIVOTDATA("Defect Type",$A$3)</f>
      </c>
      <c r="K5" s="14">
        <f>GETPIVOTDATA("Defect Type",$A$3,"Defect Type",G5)/GETPIVOTDATA("Defect Type",$A$3)</f>
      </c>
    </row>
    <row x14ac:dyDescent="0.25" r="6" customHeight="1" ht="18.75">
      <c r="A6" s="2" t="s">
        <v>1100</v>
      </c>
      <c r="B6" s="7">
        <v>31</v>
      </c>
      <c r="C6" s="7">
        <v>51</v>
      </c>
      <c r="D6" s="7">
        <v>3</v>
      </c>
      <c r="E6" s="1"/>
      <c r="F6" s="7">
        <v>85</v>
      </c>
      <c r="G6" s="2" t="s">
        <v>1100</v>
      </c>
      <c r="H6" s="14">
        <f>GETPIVOTDATA("Defect Type",$A$3,"Defect Type",$G6,"Defect Qualifier",H$4)/GETPIVOTDATA("Defect Type",$A$3)</f>
      </c>
      <c r="I6" s="14">
        <f>GETPIVOTDATA("Defect Type",$A$3,"Defect Type",$G6,"Defect Qualifier",I$4)/GETPIVOTDATA("Defect Type",$A$3)</f>
      </c>
      <c r="J6" s="14">
        <f>GETPIVOTDATA("Defect Type",$A$3,"Defect Type",$G6,"Defect Qualifier",J$4)/GETPIVOTDATA("Defect Type",$A$3)</f>
      </c>
      <c r="K6" s="14">
        <f>GETPIVOTDATA("Defect Type",$A$3,"Defect Type",G6)/GETPIVOTDATA("Defect Type",$A$3)</f>
      </c>
    </row>
    <row x14ac:dyDescent="0.25" r="7" customHeight="1" ht="18.75">
      <c r="A7" s="2" t="s">
        <v>1102</v>
      </c>
      <c r="B7" s="7">
        <v>50</v>
      </c>
      <c r="C7" s="7">
        <v>12</v>
      </c>
      <c r="D7" s="7">
        <v>2</v>
      </c>
      <c r="E7" s="1"/>
      <c r="F7" s="7">
        <v>64</v>
      </c>
      <c r="G7" s="2" t="s">
        <v>1102</v>
      </c>
      <c r="H7" s="14">
        <f>GETPIVOTDATA("Defect Type",$A$3,"Defect Type",$G7,"Defect Qualifier",H$4)/GETPIVOTDATA("Defect Type",$A$3)</f>
      </c>
      <c r="I7" s="14">
        <f>GETPIVOTDATA("Defect Type",$A$3,"Defect Type",$G7,"Defect Qualifier",I$4)/GETPIVOTDATA("Defect Type",$A$3)</f>
      </c>
      <c r="J7" s="14">
        <f>GETPIVOTDATA("Defect Type",$A$3,"Defect Type",$G7,"Defect Qualifier",J$4)/GETPIVOTDATA("Defect Type",$A$3)</f>
      </c>
      <c r="K7" s="14">
        <f>GETPIVOTDATA("Defect Type",$A$3,"Defect Type",G7)/GETPIVOTDATA("Defect Type",$A$3)</f>
      </c>
    </row>
    <row x14ac:dyDescent="0.25" r="8" customHeight="1" ht="18.75">
      <c r="A8" s="2" t="s">
        <v>1103</v>
      </c>
      <c r="B8" s="7">
        <v>2</v>
      </c>
      <c r="C8" s="7">
        <v>4</v>
      </c>
      <c r="D8" s="6"/>
      <c r="E8" s="1"/>
      <c r="F8" s="7">
        <v>6</v>
      </c>
      <c r="G8" s="2" t="s">
        <v>1103</v>
      </c>
      <c r="H8" s="14">
        <f>GETPIVOTDATA("Defect Type",$A$3,"Defect Type",$G8,"Defect Qualifier",H$4)/GETPIVOTDATA("Defect Type",$A$3)</f>
      </c>
      <c r="I8" s="14">
        <f>GETPIVOTDATA("Defect Type",$A$3,"Defect Type",$G8,"Defect Qualifier",I$4)/GETPIVOTDATA("Defect Type",$A$3)</f>
      </c>
      <c r="J8" s="14">
        <f>GETPIVOTDATA("Defect Type",$A$3,"Defect Type",$G8,"Defect Qualifier",J$4)/GETPIVOTDATA("Defect Type",$A$3)</f>
      </c>
      <c r="K8" s="14">
        <f>GETPIVOTDATA("Defect Type",$A$3,"Defect Type",G8)/GETPIVOTDATA("Defect Type",$A$3)</f>
      </c>
    </row>
    <row x14ac:dyDescent="0.25" r="9" customHeight="1" ht="18.75">
      <c r="A9" s="2" t="s">
        <v>1104</v>
      </c>
      <c r="B9" s="7">
        <v>16</v>
      </c>
      <c r="C9" s="7">
        <v>3</v>
      </c>
      <c r="D9" s="6"/>
      <c r="E9" s="1"/>
      <c r="F9" s="7">
        <v>19</v>
      </c>
      <c r="G9" s="2" t="s">
        <v>1104</v>
      </c>
      <c r="H9" s="14">
        <f>GETPIVOTDATA("Defect Type",$A$3,"Defect Type",$G9,"Defect Qualifier",H$4)/GETPIVOTDATA("Defect Type",$A$3)</f>
      </c>
      <c r="I9" s="14">
        <f>GETPIVOTDATA("Defect Type",$A$3,"Defect Type",$G9,"Defect Qualifier",I$4)/GETPIVOTDATA("Defect Type",$A$3)</f>
      </c>
      <c r="J9" s="14">
        <f>GETPIVOTDATA("Defect Type",$A$3,"Defect Type",$G9,"Defect Qualifier",J$4)/GETPIVOTDATA("Defect Type",$A$3)</f>
      </c>
      <c r="K9" s="14">
        <f>GETPIVOTDATA("Defect Type",$A$3,"Defect Type",G9)/GETPIVOTDATA("Defect Type",$A$3)</f>
      </c>
    </row>
    <row x14ac:dyDescent="0.25" r="10" customHeight="1" ht="18.75">
      <c r="A10" s="2" t="s">
        <v>1111</v>
      </c>
      <c r="B10" s="6"/>
      <c r="C10" s="6"/>
      <c r="D10" s="6"/>
      <c r="E10" s="1"/>
      <c r="F10" s="6"/>
      <c r="G10" s="1"/>
      <c r="H10" s="14"/>
      <c r="I10" s="14"/>
      <c r="J10" s="14"/>
      <c r="K10" s="12"/>
    </row>
    <row x14ac:dyDescent="0.25" r="11" customHeight="1" ht="18.75">
      <c r="A11" s="2" t="s">
        <v>643</v>
      </c>
      <c r="B11" s="7">
        <v>123</v>
      </c>
      <c r="C11" s="7">
        <v>88</v>
      </c>
      <c r="D11" s="7">
        <v>5</v>
      </c>
      <c r="E11" s="1"/>
      <c r="F11" s="7">
        <v>216</v>
      </c>
      <c r="G11" s="1"/>
      <c r="H11" s="14">
        <f>GETPIVOTDATA("Defect Type",$A$3,"Defect Qualifier","Incorrect")/GETPIVOTDATA("Defect Type",$A$3)</f>
      </c>
      <c r="I11" s="14">
        <f>GETPIVOTDATA("Defect Type",$A$3,"Defect Qualifier","Missing")/GETPIVOTDATA("Defect Type",$A$3)</f>
      </c>
      <c r="J11" s="14">
        <f>GETPIVOTDATA("Defect Type",$A$3,"Defect Qualifier","Extraneous")/GETPIVOTDATA("Defect Type",$A$3)</f>
      </c>
      <c r="K11" s="12"/>
    </row>
    <row x14ac:dyDescent="0.25" r="12" customHeight="1" ht="18.75">
      <c r="A12" s="5"/>
      <c r="B12" s="6"/>
      <c r="C12" s="6"/>
      <c r="D12" s="6"/>
      <c r="E12" s="1"/>
      <c r="F12" s="6"/>
      <c r="G12" s="1"/>
      <c r="H12" s="11"/>
      <c r="I12" s="11"/>
      <c r="J12" s="11"/>
      <c r="K12" s="12"/>
    </row>
    <row x14ac:dyDescent="0.25" r="13" customHeight="1" ht="18.75">
      <c r="A13" s="5"/>
      <c r="B13" s="6"/>
      <c r="C13" s="6"/>
      <c r="D13" s="6"/>
      <c r="E13" s="1"/>
      <c r="F13" s="6"/>
      <c r="G13" s="1"/>
      <c r="H13" s="11"/>
      <c r="I13" s="11"/>
      <c r="J13" s="11"/>
      <c r="K13" s="12"/>
    </row>
    <row x14ac:dyDescent="0.25" r="14" customHeight="1" ht="18.75">
      <c r="A14" s="5"/>
      <c r="B14" s="6"/>
      <c r="C14" s="6"/>
      <c r="D14" s="6"/>
      <c r="E14" s="1"/>
      <c r="F14" s="6"/>
      <c r="G14" s="1"/>
      <c r="H14" s="11"/>
      <c r="I14" s="11"/>
      <c r="J14" s="11"/>
      <c r="K14" s="12"/>
    </row>
    <row x14ac:dyDescent="0.25" r="15" customHeight="1" ht="18.75">
      <c r="A15" s="5"/>
      <c r="B15" s="6"/>
      <c r="C15" s="6"/>
      <c r="D15" s="6"/>
      <c r="E15" s="1"/>
      <c r="F15" s="6"/>
      <c r="G15" s="1"/>
      <c r="H15" s="11"/>
      <c r="I15" s="11"/>
      <c r="J15" s="11"/>
      <c r="K15" s="12"/>
    </row>
    <row x14ac:dyDescent="0.25" r="16" customHeight="1" ht="18.75">
      <c r="A16" s="5"/>
      <c r="B16" s="6"/>
      <c r="C16" s="6"/>
      <c r="D16" s="6"/>
      <c r="E16" s="1"/>
      <c r="F16" s="6"/>
      <c r="G16" s="1"/>
      <c r="H16" s="11"/>
      <c r="I16" s="11"/>
      <c r="J16" s="11"/>
      <c r="K16" s="12"/>
    </row>
    <row x14ac:dyDescent="0.25" r="17" customHeight="1" ht="18.75">
      <c r="A17" s="5"/>
      <c r="B17" s="6"/>
      <c r="C17" s="6"/>
      <c r="D17" s="6"/>
      <c r="E17" s="1"/>
      <c r="F17" s="6"/>
      <c r="G17" s="1"/>
      <c r="H17" s="11"/>
      <c r="I17" s="11"/>
      <c r="J17" s="11"/>
      <c r="K17" s="12"/>
    </row>
    <row x14ac:dyDescent="0.25" r="18" customHeight="1" ht="18.75">
      <c r="A18" s="5"/>
      <c r="B18" s="6"/>
      <c r="C18" s="6"/>
      <c r="D18" s="6"/>
      <c r="E18" s="1"/>
      <c r="F18" s="6"/>
      <c r="G18" s="1"/>
      <c r="H18" s="11"/>
      <c r="I18" s="11"/>
      <c r="J18" s="11"/>
      <c r="K18" s="12"/>
    </row>
    <row x14ac:dyDescent="0.25" r="19" customHeight="1" ht="18.75">
      <c r="A19" s="5"/>
      <c r="B19" s="6"/>
      <c r="C19" s="6"/>
      <c r="D19" s="6"/>
      <c r="E19" s="1"/>
      <c r="F19" s="6"/>
      <c r="G19" s="1"/>
      <c r="H19" s="11"/>
      <c r="I19" s="11"/>
      <c r="J19" s="11"/>
      <c r="K19" s="12"/>
    </row>
    <row x14ac:dyDescent="0.25" r="20" customHeight="1" ht="18.75">
      <c r="A20" s="5"/>
      <c r="B20" s="6"/>
      <c r="C20" s="6"/>
      <c r="D20" s="6"/>
      <c r="E20" s="1"/>
      <c r="F20" s="6"/>
      <c r="G20" s="1"/>
      <c r="H20" s="11"/>
      <c r="I20" s="11"/>
      <c r="J20" s="11"/>
      <c r="K20" s="12"/>
    </row>
    <row x14ac:dyDescent="0.25" r="21" customHeight="1" ht="18.75">
      <c r="A21" s="5" t="s">
        <v>1110</v>
      </c>
      <c r="B21" s="6" t="s">
        <v>641</v>
      </c>
      <c r="C21" s="6"/>
      <c r="D21" s="6"/>
      <c r="E21" s="1"/>
      <c r="F21" s="6"/>
      <c r="G21" s="1"/>
      <c r="H21" s="11"/>
      <c r="I21" s="11"/>
      <c r="J21" s="11"/>
      <c r="K21" s="12"/>
    </row>
    <row x14ac:dyDescent="0.25" r="22" customHeight="1" ht="18.75">
      <c r="A22" s="5" t="s">
        <v>642</v>
      </c>
      <c r="B22" s="6" t="s">
        <v>1113</v>
      </c>
      <c r="C22" s="6" t="s">
        <v>1114</v>
      </c>
      <c r="D22" s="6" t="s">
        <v>1115</v>
      </c>
      <c r="E22" s="1" t="s">
        <v>1111</v>
      </c>
      <c r="F22" s="6" t="s">
        <v>643</v>
      </c>
      <c r="G22" s="1"/>
      <c r="H22" s="13" t="s">
        <v>1113</v>
      </c>
      <c r="I22" s="13" t="s">
        <v>1114</v>
      </c>
      <c r="J22" s="13" t="s">
        <v>1115</v>
      </c>
      <c r="K22" s="12"/>
    </row>
    <row x14ac:dyDescent="0.25" r="23" customHeight="1" ht="18.75">
      <c r="A23" s="2" t="s">
        <v>1100</v>
      </c>
      <c r="B23" s="7">
        <v>45</v>
      </c>
      <c r="C23" s="7">
        <v>39</v>
      </c>
      <c r="D23" s="7">
        <v>1</v>
      </c>
      <c r="E23" s="1"/>
      <c r="F23" s="7">
        <v>85</v>
      </c>
      <c r="G23" s="2" t="s">
        <v>1100</v>
      </c>
      <c r="H23" s="14">
        <f>GETPIVOTDATA("Defect Type",$A$21,"Project",H$22,"Defect Type",$G23)/GETPIVOTDATA("Defect Type",$A$21,"Project",H$22)</f>
      </c>
      <c r="I23" s="14">
        <f>GETPIVOTDATA("Defect Type",$A$21,"Project",I$22,"Defect Type",$G23)/GETPIVOTDATA("Defect Type",$A$21,"Project",I$22)</f>
      </c>
      <c r="J23" s="14">
        <f>GETPIVOTDATA("Defect Type",$A$21,"Project",J$22,"Defect Type",$G23)/GETPIVOTDATA("Defect Type",$A$21,"Project",J$22)</f>
      </c>
      <c r="K23" s="14"/>
    </row>
    <row x14ac:dyDescent="0.25" r="24" customHeight="1" ht="18.75">
      <c r="A24" s="2" t="s">
        <v>1102</v>
      </c>
      <c r="B24" s="7">
        <v>33</v>
      </c>
      <c r="C24" s="7">
        <v>27</v>
      </c>
      <c r="D24" s="7">
        <v>4</v>
      </c>
      <c r="E24" s="1"/>
      <c r="F24" s="7">
        <v>64</v>
      </c>
      <c r="G24" s="2" t="s">
        <v>1102</v>
      </c>
      <c r="H24" s="14">
        <f>GETPIVOTDATA("Defect Type",$A$21,"Project",H$22,"Defect Type",$G24)/GETPIVOTDATA("Defect Type",$A$21,"Project",H$22)</f>
      </c>
      <c r="I24" s="14">
        <f>GETPIVOTDATA("Defect Type",$A$21,"Project",I$22,"Defect Type",$G24)/GETPIVOTDATA("Defect Type",$A$21,"Project",I$22)</f>
      </c>
      <c r="J24" s="14">
        <f>GETPIVOTDATA("Defect Type",$A$21,"Project",J$22,"Defect Type",$G24)/GETPIVOTDATA("Defect Type",$A$21,"Project",J$22)</f>
      </c>
      <c r="K24" s="14"/>
    </row>
    <row x14ac:dyDescent="0.25" r="25" customHeight="1" ht="18.75">
      <c r="A25" s="2" t="s">
        <v>1112</v>
      </c>
      <c r="B25" s="7">
        <v>27</v>
      </c>
      <c r="C25" s="7">
        <v>15</v>
      </c>
      <c r="D25" s="6"/>
      <c r="E25" s="1"/>
      <c r="F25" s="7">
        <v>42</v>
      </c>
      <c r="G25" s="2" t="s">
        <v>1112</v>
      </c>
      <c r="H25" s="14">
        <f>GETPIVOTDATA("Defect Type",$A$21,"Project",H$22,"Defect Type",$G25)/GETPIVOTDATA("Defect Type",$A$21,"Project",H$22)</f>
      </c>
      <c r="I25" s="14">
        <f>GETPIVOTDATA("Defect Type",$A$21,"Project",I$22,"Defect Type",$G25)/GETPIVOTDATA("Defect Type",$A$21,"Project",I$22)</f>
      </c>
      <c r="J25" s="14">
        <f>GETPIVOTDATA("Defect Type",$A$21,"Project",J$22,"Defect Type",$G25)/GETPIVOTDATA("Defect Type",$A$21,"Project",J$22)</f>
      </c>
      <c r="K25" s="14"/>
    </row>
    <row x14ac:dyDescent="0.25" r="26" customHeight="1" ht="18.75">
      <c r="A26" s="2" t="s">
        <v>1104</v>
      </c>
      <c r="B26" s="7">
        <v>11</v>
      </c>
      <c r="C26" s="7">
        <v>8</v>
      </c>
      <c r="D26" s="6"/>
      <c r="E26" s="1"/>
      <c r="F26" s="7">
        <v>19</v>
      </c>
      <c r="G26" s="2" t="s">
        <v>1104</v>
      </c>
      <c r="H26" s="14">
        <f>GETPIVOTDATA("Defect Type",$A$21,"Project",H$22,"Defect Type",$G26)/GETPIVOTDATA("Defect Type",$A$21,"Project",H$22)</f>
      </c>
      <c r="I26" s="14">
        <f>GETPIVOTDATA("Defect Type",$A$21,"Project",I$22,"Defect Type",$G26)/GETPIVOTDATA("Defect Type",$A$21,"Project",I$22)</f>
      </c>
      <c r="J26" s="14">
        <f>GETPIVOTDATA("Defect Type",$A$21,"Project",J$22,"Defect Type",$G26)/GETPIVOTDATA("Defect Type",$A$21,"Project",J$22)</f>
      </c>
      <c r="K26" s="14"/>
    </row>
    <row x14ac:dyDescent="0.25" r="27" customHeight="1" ht="18.75">
      <c r="A27" s="2" t="s">
        <v>1103</v>
      </c>
      <c r="B27" s="7">
        <v>4</v>
      </c>
      <c r="C27" s="7">
        <v>2</v>
      </c>
      <c r="D27" s="6"/>
      <c r="E27" s="1"/>
      <c r="F27" s="7">
        <v>6</v>
      </c>
      <c r="G27" s="2" t="s">
        <v>1103</v>
      </c>
      <c r="H27" s="14">
        <f>GETPIVOTDATA("Defect Type",$A$21,"Project",H$22,"Defect Type",$G27)/GETPIVOTDATA("Defect Type",$A$21,"Project",H$22)</f>
      </c>
      <c r="I27" s="14">
        <f>GETPIVOTDATA("Defect Type",$A$21,"Project",I$22,"Defect Type",$G27)/GETPIVOTDATA("Defect Type",$A$21,"Project",I$22)</f>
      </c>
      <c r="J27" s="14">
        <f>GETPIVOTDATA("Defect Type",$A$21,"Project",J$22,"Defect Type",$G27)/GETPIVOTDATA("Defect Type",$A$21,"Project",J$22)</f>
      </c>
      <c r="K27" s="14"/>
    </row>
    <row x14ac:dyDescent="0.25" r="28" customHeight="1" ht="18.75">
      <c r="A28" s="2" t="s">
        <v>1111</v>
      </c>
      <c r="B28" s="6"/>
      <c r="C28" s="6"/>
      <c r="D28" s="6"/>
      <c r="E28" s="1"/>
      <c r="F28" s="6"/>
      <c r="G28" s="1"/>
      <c r="H28" s="11"/>
      <c r="I28" s="11"/>
      <c r="J28" s="11"/>
      <c r="K28" s="12"/>
    </row>
    <row x14ac:dyDescent="0.25" r="29" customHeight="1" ht="18.75">
      <c r="A29" s="2" t="s">
        <v>643</v>
      </c>
      <c r="B29" s="7">
        <v>120</v>
      </c>
      <c r="C29" s="7">
        <v>91</v>
      </c>
      <c r="D29" s="7">
        <v>5</v>
      </c>
      <c r="E29" s="1"/>
      <c r="F29" s="7">
        <v>216</v>
      </c>
      <c r="G29" s="1"/>
      <c r="H29" s="14">
        <f>SUM(H23:H27)</f>
      </c>
      <c r="I29" s="14">
        <f>SUM(I23:I27)</f>
      </c>
      <c r="J29" s="14">
        <f>SUM(J23:J27)</f>
      </c>
      <c r="K29" s="12"/>
    </row>
    <row x14ac:dyDescent="0.25" r="30" customHeight="1" ht="18.75">
      <c r="A30" s="5"/>
      <c r="B30" s="6"/>
      <c r="C30" s="6"/>
      <c r="D30" s="6"/>
      <c r="E30" s="1"/>
      <c r="F30" s="6"/>
      <c r="G30" s="1"/>
      <c r="H30" s="11"/>
      <c r="I30" s="11"/>
      <c r="J30" s="11"/>
      <c r="K30" s="12"/>
    </row>
    <row x14ac:dyDescent="0.25" r="31" customHeight="1" ht="18.75">
      <c r="A31" s="5"/>
      <c r="B31" s="6"/>
      <c r="C31" s="6"/>
      <c r="D31" s="6"/>
      <c r="E31" s="1"/>
      <c r="F31" s="6"/>
      <c r="G31" s="1"/>
      <c r="H31" s="11"/>
      <c r="I31" s="11"/>
      <c r="J31" s="11"/>
      <c r="K31" s="12"/>
    </row>
    <row x14ac:dyDescent="0.25" r="32" customHeight="1" ht="18.75">
      <c r="A32" s="5"/>
      <c r="B32" s="6"/>
      <c r="C32" s="6"/>
      <c r="D32" s="6"/>
      <c r="E32" s="1"/>
      <c r="F32" s="6"/>
      <c r="G32" s="1"/>
      <c r="H32" s="11"/>
      <c r="I32" s="11"/>
      <c r="J32" s="11"/>
      <c r="K32" s="12"/>
    </row>
    <row x14ac:dyDescent="0.25" r="33" customHeight="1" ht="18.75">
      <c r="A33" s="5"/>
      <c r="B33" s="6"/>
      <c r="C33" s="6"/>
      <c r="D33" s="6"/>
      <c r="E33" s="1"/>
      <c r="F33" s="6"/>
      <c r="G33" s="1"/>
      <c r="H33" s="11"/>
      <c r="I33" s="11"/>
      <c r="J33" s="11"/>
      <c r="K33" s="12"/>
    </row>
    <row x14ac:dyDescent="0.25" r="34" customHeight="1" ht="18.75">
      <c r="A34" s="5" t="s">
        <v>1116</v>
      </c>
      <c r="B34" s="6" t="s">
        <v>641</v>
      </c>
      <c r="C34" s="6"/>
      <c r="D34" s="6"/>
      <c r="E34" s="1"/>
      <c r="F34" s="6"/>
      <c r="G34" s="1"/>
      <c r="H34" s="11"/>
      <c r="I34" s="11"/>
      <c r="J34" s="11"/>
      <c r="K34" s="12"/>
    </row>
    <row x14ac:dyDescent="0.25" r="35" customHeight="1" ht="18.75">
      <c r="A35" s="5" t="s">
        <v>642</v>
      </c>
      <c r="B35" s="6" t="s">
        <v>1113</v>
      </c>
      <c r="C35" s="6" t="s">
        <v>1114</v>
      </c>
      <c r="D35" s="6" t="s">
        <v>1115</v>
      </c>
      <c r="E35" s="1" t="s">
        <v>1111</v>
      </c>
      <c r="F35" s="6" t="s">
        <v>643</v>
      </c>
      <c r="G35" s="1"/>
      <c r="H35" s="11">
        <f>B35</f>
      </c>
      <c r="I35" s="11">
        <f>C35</f>
      </c>
      <c r="J35" s="11">
        <f>D35</f>
      </c>
      <c r="K35" s="12"/>
    </row>
    <row x14ac:dyDescent="0.25" r="36" customHeight="1" ht="18.75">
      <c r="A36" s="2" t="s">
        <v>1107</v>
      </c>
      <c r="B36" s="7">
        <v>74</v>
      </c>
      <c r="C36" s="7">
        <v>46</v>
      </c>
      <c r="D36" s="7">
        <v>3</v>
      </c>
      <c r="E36" s="1"/>
      <c r="F36" s="7">
        <v>123</v>
      </c>
      <c r="G36" s="15">
        <f>A36</f>
      </c>
      <c r="H36" s="14">
        <f>GETPIVOTDATA("Defect Qualifier",$A$34,"Project",H$35,"Defect Qualifier",$G36)/GETPIVOTDATA("Defect Qualifier",$A$34,"Project",H$35)</f>
      </c>
      <c r="I36" s="14">
        <f>GETPIVOTDATA("Defect Qualifier",$A$34,"Project",I$35,"Defect Qualifier",$G36)/GETPIVOTDATA("Defect Qualifier",$A$34,"Project",I$35)</f>
      </c>
      <c r="J36" s="14">
        <f>GETPIVOTDATA("Defect Qualifier",$A$34,"Project",J$35,"Defect Qualifier",$G36)/GETPIVOTDATA("Defect Qualifier",$A$34,"Project",J$35)</f>
      </c>
      <c r="K36" s="12"/>
    </row>
    <row x14ac:dyDescent="0.25" r="37" customHeight="1" ht="18.75">
      <c r="A37" s="2" t="s">
        <v>1106</v>
      </c>
      <c r="B37" s="7">
        <v>45</v>
      </c>
      <c r="C37" s="7">
        <v>42</v>
      </c>
      <c r="D37" s="7">
        <v>1</v>
      </c>
      <c r="E37" s="1"/>
      <c r="F37" s="7">
        <v>88</v>
      </c>
      <c r="G37" s="15">
        <f>A37</f>
      </c>
      <c r="H37" s="14">
        <f>GETPIVOTDATA("Defect Qualifier",$A$34,"Project",H$35,"Defect Qualifier",$G37)/GETPIVOTDATA("Defect Qualifier",$A$34,"Project",H$35)</f>
      </c>
      <c r="I37" s="14">
        <f>GETPIVOTDATA("Defect Qualifier",$A$34,"Project",I$35,"Defect Qualifier",$G37)/GETPIVOTDATA("Defect Qualifier",$A$34,"Project",I$35)</f>
      </c>
      <c r="J37" s="14">
        <f>GETPIVOTDATA("Defect Qualifier",$A$34,"Project",J$35,"Defect Qualifier",$G37)/GETPIVOTDATA("Defect Qualifier",$A$34,"Project",J$35)</f>
      </c>
      <c r="K37" s="12"/>
    </row>
    <row x14ac:dyDescent="0.25" r="38" customHeight="1" ht="18.75">
      <c r="A38" s="2" t="s">
        <v>1108</v>
      </c>
      <c r="B38" s="7">
        <v>1</v>
      </c>
      <c r="C38" s="7">
        <v>3</v>
      </c>
      <c r="D38" s="7">
        <v>1</v>
      </c>
      <c r="E38" s="1"/>
      <c r="F38" s="7">
        <v>5</v>
      </c>
      <c r="G38" s="15">
        <f>A38</f>
      </c>
      <c r="H38" s="14">
        <f>GETPIVOTDATA("Defect Qualifier",$A$34,"Project",H$35,"Defect Qualifier",$G38)/GETPIVOTDATA("Defect Qualifier",$A$34,"Project",H$35)</f>
      </c>
      <c r="I38" s="14">
        <f>GETPIVOTDATA("Defect Qualifier",$A$34,"Project",I$35,"Defect Qualifier",$G38)/GETPIVOTDATA("Defect Qualifier",$A$34,"Project",I$35)</f>
      </c>
      <c r="J38" s="14">
        <f>GETPIVOTDATA("Defect Qualifier",$A$34,"Project",J$35,"Defect Qualifier",$G38)/GETPIVOTDATA("Defect Qualifier",$A$34,"Project",J$35)</f>
      </c>
      <c r="K38" s="12"/>
    </row>
    <row x14ac:dyDescent="0.25" r="39" customHeight="1" ht="18.75">
      <c r="A39" s="2" t="s">
        <v>1111</v>
      </c>
      <c r="B39" s="6"/>
      <c r="C39" s="6"/>
      <c r="D39" s="6"/>
      <c r="E39" s="1"/>
      <c r="F39" s="6"/>
      <c r="G39" s="1"/>
      <c r="H39" s="11"/>
      <c r="I39" s="11"/>
      <c r="J39" s="11"/>
      <c r="K39" s="12"/>
    </row>
    <row x14ac:dyDescent="0.25" r="40" customHeight="1" ht="18.75">
      <c r="A40" s="2" t="s">
        <v>643</v>
      </c>
      <c r="B40" s="7">
        <v>120</v>
      </c>
      <c r="C40" s="7">
        <v>91</v>
      </c>
      <c r="D40" s="7">
        <v>5</v>
      </c>
      <c r="E40" s="1"/>
      <c r="F40" s="7">
        <v>216</v>
      </c>
      <c r="G40" s="1"/>
      <c r="H40" s="14">
        <f>SUM(H36:H38)</f>
      </c>
      <c r="I40" s="14">
        <f>SUM(I36:I38)</f>
      </c>
      <c r="J40" s="14">
        <f>SUM(J36:J38)</f>
      </c>
      <c r="K40"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3"/>
  <sheetViews>
    <sheetView workbookViewId="0"/>
  </sheetViews>
  <sheetFormatPr defaultRowHeight="15" x14ac:dyDescent="0.25"/>
  <cols>
    <col min="1" max="1" style="4" width="13.576428571428572" customWidth="1" bestFit="1"/>
    <col min="2" max="2" style="4" width="13.576428571428572" customWidth="1" bestFit="1"/>
    <col min="3" max="3" style="4" width="13.576428571428572" customWidth="1" bestFit="1"/>
    <col min="4" max="4" style="4" width="13.576428571428572" customWidth="1" bestFit="1"/>
    <col min="5" max="5" style="4" width="13.576428571428572" customWidth="1" bestFit="1"/>
    <col min="6" max="6" style="4" width="13.576428571428572" customWidth="1" bestFit="1"/>
  </cols>
  <sheetData>
    <row x14ac:dyDescent="0.25" r="1" customHeight="1" ht="18.75">
      <c r="A1" s="10" t="s">
        <v>1096</v>
      </c>
      <c r="B1" s="1"/>
      <c r="C1" s="1"/>
      <c r="D1" s="1"/>
      <c r="E1" s="1"/>
      <c r="F1" s="1"/>
    </row>
    <row x14ac:dyDescent="0.25" r="2" customHeight="1" ht="18.75">
      <c r="A2" s="1" t="s">
        <v>1097</v>
      </c>
      <c r="B2" s="1"/>
      <c r="C2" s="1" t="s">
        <v>1098</v>
      </c>
      <c r="D2" s="1"/>
      <c r="E2" s="1"/>
      <c r="F2" s="1" t="s">
        <v>1099</v>
      </c>
    </row>
    <row x14ac:dyDescent="0.25" r="3" customHeight="1" ht="18.75">
      <c r="A3" s="1" t="s">
        <v>1100</v>
      </c>
      <c r="B3" s="1"/>
      <c r="C3" s="1" t="s">
        <v>1098</v>
      </c>
      <c r="D3" s="1"/>
      <c r="E3" s="1"/>
      <c r="F3" s="1"/>
    </row>
    <row x14ac:dyDescent="0.25" r="4" customHeight="1" ht="18.75">
      <c r="A4" s="1" t="s">
        <v>1101</v>
      </c>
      <c r="B4" s="1"/>
      <c r="C4" s="1"/>
      <c r="D4" s="1"/>
      <c r="E4" s="1"/>
      <c r="F4" s="1"/>
    </row>
    <row x14ac:dyDescent="0.25" r="5" customHeight="1" ht="18.75">
      <c r="A5" s="1" t="s">
        <v>1102</v>
      </c>
      <c r="B5" s="1"/>
      <c r="C5" s="1" t="s">
        <v>1098</v>
      </c>
      <c r="D5" s="1"/>
      <c r="E5" s="1"/>
      <c r="F5" s="1"/>
    </row>
    <row x14ac:dyDescent="0.25" r="6" customHeight="1" ht="18.75">
      <c r="A6" s="1" t="s">
        <v>1103</v>
      </c>
      <c r="B6" s="1"/>
      <c r="C6" s="1"/>
      <c r="D6" s="1"/>
      <c r="E6" s="1"/>
      <c r="F6" s="1"/>
    </row>
    <row x14ac:dyDescent="0.25" r="7" customHeight="1" ht="18.75">
      <c r="A7" s="1" t="s">
        <v>1104</v>
      </c>
      <c r="B7" s="1"/>
      <c r="C7" s="1"/>
      <c r="D7" s="1"/>
      <c r="E7" s="1"/>
      <c r="F7" s="1"/>
    </row>
    <row x14ac:dyDescent="0.25" r="8" customHeight="1" ht="18.75">
      <c r="A8" s="1"/>
      <c r="B8" s="1"/>
      <c r="C8" s="1"/>
      <c r="D8" s="1"/>
      <c r="E8" s="1"/>
      <c r="F8" s="1"/>
    </row>
    <row x14ac:dyDescent="0.25" r="9" customHeight="1" ht="18.75">
      <c r="A9" s="1"/>
      <c r="B9" s="1"/>
      <c r="C9" s="1"/>
      <c r="D9" s="1"/>
      <c r="E9" s="1"/>
      <c r="F9" s="1"/>
    </row>
    <row x14ac:dyDescent="0.25" r="10" customHeight="1" ht="18.75">
      <c r="A10" s="10" t="s">
        <v>1105</v>
      </c>
      <c r="B10" s="1"/>
      <c r="C10" s="1"/>
      <c r="D10" s="1"/>
      <c r="E10" s="1"/>
      <c r="F10" s="1"/>
    </row>
    <row x14ac:dyDescent="0.25" r="11" customHeight="1" ht="18.75">
      <c r="A11" s="1" t="s">
        <v>1106</v>
      </c>
      <c r="B11" s="1"/>
      <c r="C11" s="1"/>
      <c r="D11" s="1"/>
      <c r="E11" s="1"/>
      <c r="F11" s="1"/>
    </row>
    <row x14ac:dyDescent="0.25" r="12" customHeight="1" ht="18.75">
      <c r="A12" s="1" t="s">
        <v>1107</v>
      </c>
      <c r="B12" s="1"/>
      <c r="C12" s="1"/>
      <c r="D12" s="1"/>
      <c r="E12" s="1"/>
      <c r="F12" s="1"/>
    </row>
    <row x14ac:dyDescent="0.25" r="13" customHeight="1" ht="18.75">
      <c r="A13" s="1" t="s">
        <v>1108</v>
      </c>
      <c r="B13" s="1" t="s">
        <v>1109</v>
      </c>
      <c r="C13" s="1"/>
      <c r="D13" s="1"/>
      <c r="E13" s="1"/>
      <c r="F13"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706"/>
  <sheetViews>
    <sheetView workbookViewId="0"/>
  </sheetViews>
  <sheetFormatPr defaultRowHeight="15" x14ac:dyDescent="0.25"/>
  <cols>
    <col min="1" max="1" style="9" width="9.43357142857143" customWidth="1" bestFit="1"/>
    <col min="2" max="2" style="4" width="42.14785714285715" customWidth="1" bestFit="1"/>
    <col min="3" max="3" style="4" width="69.57642857142856" customWidth="1" bestFit="1"/>
    <col min="4" max="4" style="9" width="8.576428571428572" customWidth="1" bestFit="1"/>
    <col min="5" max="5" style="9" width="8.576428571428572" customWidth="1" bestFit="1"/>
    <col min="6" max="6" style="9" width="7.862142857142857" customWidth="1" bestFit="1"/>
    <col min="7" max="7" style="4" width="8.576428571428572" customWidth="1" bestFit="1"/>
  </cols>
  <sheetData>
    <row x14ac:dyDescent="0.25" r="1" customHeight="1" ht="18.75">
      <c r="A1" s="6" t="s">
        <v>644</v>
      </c>
      <c r="B1" s="1" t="s">
        <v>645</v>
      </c>
      <c r="C1" s="1" t="s">
        <v>646</v>
      </c>
      <c r="D1" s="6" t="s">
        <v>647</v>
      </c>
      <c r="E1" s="6" t="s">
        <v>648</v>
      </c>
      <c r="F1" s="6" t="s">
        <v>649</v>
      </c>
      <c r="G1" s="1" t="s">
        <v>650</v>
      </c>
    </row>
    <row x14ac:dyDescent="0.25" r="2" customHeight="1" ht="18.75">
      <c r="A2" s="7">
        <v>1</v>
      </c>
      <c r="B2" s="1" t="s">
        <v>322</v>
      </c>
      <c r="C2" s="1" t="s">
        <v>651</v>
      </c>
      <c r="D2" s="7">
        <v>4</v>
      </c>
      <c r="E2" s="7">
        <v>0</v>
      </c>
      <c r="F2" s="7">
        <v>4</v>
      </c>
      <c r="G2" s="1" t="s">
        <v>652</v>
      </c>
    </row>
    <row x14ac:dyDescent="0.25" r="3" customHeight="1" ht="18.75">
      <c r="A3" s="7">
        <v>1</v>
      </c>
      <c r="B3" s="2" t="s">
        <v>476</v>
      </c>
      <c r="C3" s="1" t="s">
        <v>653</v>
      </c>
      <c r="D3" s="7">
        <v>2</v>
      </c>
      <c r="E3" s="7">
        <v>2</v>
      </c>
      <c r="F3" s="7">
        <v>4</v>
      </c>
      <c r="G3" s="1" t="s">
        <v>652</v>
      </c>
    </row>
    <row x14ac:dyDescent="0.25" r="4" customHeight="1" ht="18.75">
      <c r="A4" s="7">
        <v>1</v>
      </c>
      <c r="B4" s="2" t="s">
        <v>476</v>
      </c>
      <c r="C4" s="1" t="s">
        <v>654</v>
      </c>
      <c r="D4" s="7">
        <v>1</v>
      </c>
      <c r="E4" s="7">
        <v>1</v>
      </c>
      <c r="F4" s="7">
        <v>2</v>
      </c>
      <c r="G4" s="1" t="s">
        <v>652</v>
      </c>
    </row>
    <row x14ac:dyDescent="0.25" r="5" customHeight="1" ht="18.75">
      <c r="A5" s="7">
        <v>1</v>
      </c>
      <c r="B5" s="2" t="s">
        <v>476</v>
      </c>
      <c r="C5" s="1" t="s">
        <v>655</v>
      </c>
      <c r="D5" s="7">
        <v>24</v>
      </c>
      <c r="E5" s="7">
        <v>30</v>
      </c>
      <c r="F5" s="7">
        <v>54</v>
      </c>
      <c r="G5" s="1" t="s">
        <v>652</v>
      </c>
    </row>
    <row x14ac:dyDescent="0.25" r="6" customHeight="1" ht="18.75">
      <c r="A6" s="7">
        <v>1</v>
      </c>
      <c r="B6" s="2" t="s">
        <v>476</v>
      </c>
      <c r="C6" s="1" t="s">
        <v>656</v>
      </c>
      <c r="D6" s="7">
        <v>4</v>
      </c>
      <c r="E6" s="7">
        <v>9</v>
      </c>
      <c r="F6" s="7">
        <v>13</v>
      </c>
      <c r="G6" s="1" t="s">
        <v>652</v>
      </c>
    </row>
    <row x14ac:dyDescent="0.25" r="7" customHeight="1" ht="18.75">
      <c r="A7" s="7">
        <v>1</v>
      </c>
      <c r="B7" s="2" t="s">
        <v>476</v>
      </c>
      <c r="C7" s="1" t="s">
        <v>657</v>
      </c>
      <c r="D7" s="7">
        <v>4</v>
      </c>
      <c r="E7" s="7">
        <v>4</v>
      </c>
      <c r="F7" s="7">
        <v>8</v>
      </c>
      <c r="G7" s="1" t="s">
        <v>652</v>
      </c>
    </row>
    <row x14ac:dyDescent="0.25" r="8" customHeight="1" ht="18.75">
      <c r="A8" s="7">
        <v>1</v>
      </c>
      <c r="B8" s="2" t="s">
        <v>476</v>
      </c>
      <c r="C8" s="1" t="s">
        <v>658</v>
      </c>
      <c r="D8" s="7">
        <v>2</v>
      </c>
      <c r="E8" s="7">
        <v>2</v>
      </c>
      <c r="F8" s="7">
        <v>4</v>
      </c>
      <c r="G8" s="1" t="s">
        <v>652</v>
      </c>
    </row>
    <row x14ac:dyDescent="0.25" r="9" customHeight="1" ht="18.75">
      <c r="A9" s="7">
        <v>1</v>
      </c>
      <c r="B9" s="1" t="s">
        <v>422</v>
      </c>
      <c r="C9" s="1" t="s">
        <v>659</v>
      </c>
      <c r="D9" s="7">
        <v>2</v>
      </c>
      <c r="E9" s="7">
        <v>1</v>
      </c>
      <c r="F9" s="7">
        <v>3</v>
      </c>
      <c r="G9" s="1" t="s">
        <v>652</v>
      </c>
    </row>
    <row x14ac:dyDescent="0.25" r="10" customHeight="1" ht="18.75">
      <c r="A10" s="7">
        <v>1</v>
      </c>
      <c r="B10" s="1" t="s">
        <v>422</v>
      </c>
      <c r="C10" s="1" t="s">
        <v>660</v>
      </c>
      <c r="D10" s="7">
        <v>4</v>
      </c>
      <c r="E10" s="7">
        <v>2</v>
      </c>
      <c r="F10" s="7">
        <v>6</v>
      </c>
      <c r="G10" s="1" t="s">
        <v>652</v>
      </c>
    </row>
    <row x14ac:dyDescent="0.25" r="11" customHeight="1" ht="18.75">
      <c r="A11" s="7">
        <v>1</v>
      </c>
      <c r="B11" s="1" t="s">
        <v>325</v>
      </c>
      <c r="C11" s="1" t="s">
        <v>661</v>
      </c>
      <c r="D11" s="7">
        <v>48</v>
      </c>
      <c r="E11" s="7">
        <v>2</v>
      </c>
      <c r="F11" s="7">
        <v>50</v>
      </c>
      <c r="G11" s="1" t="s">
        <v>652</v>
      </c>
    </row>
    <row x14ac:dyDescent="0.25" r="12" customHeight="1" ht="18.75">
      <c r="A12" s="7">
        <v>1</v>
      </c>
      <c r="B12" s="2" t="s">
        <v>332</v>
      </c>
      <c r="C12" s="1" t="s">
        <v>662</v>
      </c>
      <c r="D12" s="7">
        <v>23</v>
      </c>
      <c r="E12" s="7">
        <v>6</v>
      </c>
      <c r="F12" s="7">
        <v>29</v>
      </c>
      <c r="G12" s="1" t="s">
        <v>652</v>
      </c>
    </row>
    <row x14ac:dyDescent="0.25" r="13" customHeight="1" ht="18.75">
      <c r="A13" s="7">
        <v>1</v>
      </c>
      <c r="B13" s="1" t="s">
        <v>334</v>
      </c>
      <c r="C13" s="1" t="s">
        <v>663</v>
      </c>
      <c r="D13" s="7">
        <v>2</v>
      </c>
      <c r="E13" s="7">
        <v>0</v>
      </c>
      <c r="F13" s="7">
        <v>2</v>
      </c>
      <c r="G13" s="1" t="s">
        <v>652</v>
      </c>
    </row>
    <row x14ac:dyDescent="0.25" r="14" customHeight="1" ht="18.75">
      <c r="A14" s="7">
        <v>1</v>
      </c>
      <c r="B14" s="1" t="s">
        <v>403</v>
      </c>
      <c r="C14" s="1" t="s">
        <v>664</v>
      </c>
      <c r="D14" s="7">
        <v>4</v>
      </c>
      <c r="E14" s="7">
        <v>0</v>
      </c>
      <c r="F14" s="7">
        <v>4</v>
      </c>
      <c r="G14" s="1" t="s">
        <v>652</v>
      </c>
    </row>
    <row x14ac:dyDescent="0.25" r="15" customHeight="1" ht="18.75">
      <c r="A15" s="7">
        <v>1</v>
      </c>
      <c r="B15" s="1" t="s">
        <v>329</v>
      </c>
      <c r="C15" s="1" t="s">
        <v>665</v>
      </c>
      <c r="D15" s="7">
        <v>1</v>
      </c>
      <c r="E15" s="7">
        <v>0</v>
      </c>
      <c r="F15" s="7">
        <v>1</v>
      </c>
      <c r="G15" s="1" t="s">
        <v>652</v>
      </c>
    </row>
    <row x14ac:dyDescent="0.25" r="16" customHeight="1" ht="18.75">
      <c r="A16" s="7">
        <v>1</v>
      </c>
      <c r="B16" s="1" t="s">
        <v>369</v>
      </c>
      <c r="C16" s="1" t="s">
        <v>666</v>
      </c>
      <c r="D16" s="7">
        <v>7</v>
      </c>
      <c r="E16" s="7">
        <v>0</v>
      </c>
      <c r="F16" s="7">
        <v>7</v>
      </c>
      <c r="G16" s="1" t="s">
        <v>652</v>
      </c>
    </row>
    <row x14ac:dyDescent="0.25" r="17" customHeight="1" ht="18.75">
      <c r="A17" s="7">
        <v>1</v>
      </c>
      <c r="B17" s="1" t="s">
        <v>481</v>
      </c>
      <c r="C17" s="1" t="s">
        <v>667</v>
      </c>
      <c r="D17" s="7">
        <v>5</v>
      </c>
      <c r="E17" s="7">
        <v>0</v>
      </c>
      <c r="F17" s="7">
        <v>5</v>
      </c>
      <c r="G17" s="1" t="s">
        <v>652</v>
      </c>
    </row>
    <row x14ac:dyDescent="0.25" r="18" customHeight="1" ht="18.75">
      <c r="A18" s="7">
        <v>1</v>
      </c>
      <c r="B18" s="1" t="s">
        <v>481</v>
      </c>
      <c r="C18" s="1" t="s">
        <v>668</v>
      </c>
      <c r="D18" s="7">
        <v>6</v>
      </c>
      <c r="E18" s="7">
        <v>0</v>
      </c>
      <c r="F18" s="7">
        <v>6</v>
      </c>
      <c r="G18" s="1" t="s">
        <v>652</v>
      </c>
    </row>
    <row x14ac:dyDescent="0.25" r="19" customHeight="1" ht="18.75">
      <c r="A19" s="7">
        <v>1</v>
      </c>
      <c r="B19" s="1" t="s">
        <v>481</v>
      </c>
      <c r="C19" s="1" t="s">
        <v>669</v>
      </c>
      <c r="D19" s="7">
        <v>6</v>
      </c>
      <c r="E19" s="7">
        <v>0</v>
      </c>
      <c r="F19" s="7">
        <v>6</v>
      </c>
      <c r="G19" s="1" t="s">
        <v>652</v>
      </c>
    </row>
    <row x14ac:dyDescent="0.25" r="20" customHeight="1" ht="18.75">
      <c r="A20" s="7">
        <v>1</v>
      </c>
      <c r="B20" s="1" t="s">
        <v>481</v>
      </c>
      <c r="C20" s="1" t="s">
        <v>670</v>
      </c>
      <c r="D20" s="7">
        <v>6</v>
      </c>
      <c r="E20" s="7">
        <v>0</v>
      </c>
      <c r="F20" s="7">
        <v>6</v>
      </c>
      <c r="G20" s="1" t="s">
        <v>652</v>
      </c>
    </row>
    <row x14ac:dyDescent="0.25" r="21" customHeight="1" ht="18.75">
      <c r="A21" s="7">
        <v>1</v>
      </c>
      <c r="B21" s="1" t="s">
        <v>481</v>
      </c>
      <c r="C21" s="1" t="s">
        <v>671</v>
      </c>
      <c r="D21" s="7">
        <v>5</v>
      </c>
      <c r="E21" s="7">
        <v>0</v>
      </c>
      <c r="F21" s="7">
        <v>5</v>
      </c>
      <c r="G21" s="1" t="s">
        <v>652</v>
      </c>
    </row>
    <row x14ac:dyDescent="0.25" r="22" customHeight="1" ht="18.75">
      <c r="A22" s="7">
        <v>1</v>
      </c>
      <c r="B22" s="1" t="s">
        <v>481</v>
      </c>
      <c r="C22" s="1" t="s">
        <v>672</v>
      </c>
      <c r="D22" s="7">
        <v>1</v>
      </c>
      <c r="E22" s="7">
        <v>0</v>
      </c>
      <c r="F22" s="7">
        <v>1</v>
      </c>
      <c r="G22" s="1" t="s">
        <v>652</v>
      </c>
    </row>
    <row x14ac:dyDescent="0.25" r="23" customHeight="1" ht="18.75">
      <c r="A23" s="7">
        <v>1</v>
      </c>
      <c r="B23" s="1" t="s">
        <v>481</v>
      </c>
      <c r="C23" s="1" t="s">
        <v>673</v>
      </c>
      <c r="D23" s="7">
        <v>24</v>
      </c>
      <c r="E23" s="7">
        <v>9</v>
      </c>
      <c r="F23" s="7">
        <v>33</v>
      </c>
      <c r="G23" s="1" t="s">
        <v>652</v>
      </c>
    </row>
    <row x14ac:dyDescent="0.25" r="24" customHeight="1" ht="18.75">
      <c r="A24" s="7">
        <v>1</v>
      </c>
      <c r="B24" s="1" t="s">
        <v>331</v>
      </c>
      <c r="C24" s="1" t="s">
        <v>674</v>
      </c>
      <c r="D24" s="7">
        <v>5</v>
      </c>
      <c r="E24" s="7">
        <v>0</v>
      </c>
      <c r="F24" s="7">
        <v>5</v>
      </c>
      <c r="G24" s="1" t="s">
        <v>652</v>
      </c>
    </row>
    <row x14ac:dyDescent="0.25" r="25" customHeight="1" ht="18.75">
      <c r="A25" s="7">
        <v>1</v>
      </c>
      <c r="B25" s="1" t="s">
        <v>389</v>
      </c>
      <c r="C25" s="1" t="s">
        <v>675</v>
      </c>
      <c r="D25" s="7">
        <v>1</v>
      </c>
      <c r="E25" s="7">
        <v>1</v>
      </c>
      <c r="F25" s="7">
        <v>2</v>
      </c>
      <c r="G25" s="1" t="s">
        <v>652</v>
      </c>
    </row>
    <row x14ac:dyDescent="0.25" r="26" customHeight="1" ht="18.75">
      <c r="A26" s="7">
        <v>1</v>
      </c>
      <c r="B26" s="1" t="s">
        <v>472</v>
      </c>
      <c r="C26" s="1" t="s">
        <v>676</v>
      </c>
      <c r="D26" s="7">
        <v>1</v>
      </c>
      <c r="E26" s="7">
        <v>1</v>
      </c>
      <c r="F26" s="7">
        <v>2</v>
      </c>
      <c r="G26" s="1" t="s">
        <v>652</v>
      </c>
    </row>
    <row x14ac:dyDescent="0.25" r="27" customHeight="1" ht="18.75">
      <c r="A27" s="7">
        <v>1</v>
      </c>
      <c r="B27" s="1" t="s">
        <v>472</v>
      </c>
      <c r="C27" s="1" t="s">
        <v>677</v>
      </c>
      <c r="D27" s="7">
        <v>6</v>
      </c>
      <c r="E27" s="7">
        <v>0</v>
      </c>
      <c r="F27" s="7">
        <v>6</v>
      </c>
      <c r="G27" s="1" t="s">
        <v>652</v>
      </c>
    </row>
    <row x14ac:dyDescent="0.25" r="28" customHeight="1" ht="18.75">
      <c r="A28" s="7">
        <v>1</v>
      </c>
      <c r="B28" s="1" t="s">
        <v>472</v>
      </c>
      <c r="C28" s="1" t="s">
        <v>678</v>
      </c>
      <c r="D28" s="7">
        <v>2</v>
      </c>
      <c r="E28" s="7">
        <v>0</v>
      </c>
      <c r="F28" s="7">
        <v>2</v>
      </c>
      <c r="G28" s="1" t="s">
        <v>652</v>
      </c>
    </row>
    <row x14ac:dyDescent="0.25" r="29" customHeight="1" ht="18.75">
      <c r="A29" s="7">
        <v>1</v>
      </c>
      <c r="B29" s="1" t="s">
        <v>472</v>
      </c>
      <c r="C29" s="1" t="s">
        <v>679</v>
      </c>
      <c r="D29" s="7">
        <v>2</v>
      </c>
      <c r="E29" s="7">
        <v>2</v>
      </c>
      <c r="F29" s="7">
        <v>4</v>
      </c>
      <c r="G29" s="1" t="s">
        <v>652</v>
      </c>
    </row>
    <row x14ac:dyDescent="0.25" r="30" customHeight="1" ht="18.75">
      <c r="A30" s="7">
        <v>1</v>
      </c>
      <c r="B30" s="1" t="s">
        <v>472</v>
      </c>
      <c r="C30" s="1" t="s">
        <v>680</v>
      </c>
      <c r="D30" s="7">
        <v>1</v>
      </c>
      <c r="E30" s="7">
        <v>1</v>
      </c>
      <c r="F30" s="7">
        <v>2</v>
      </c>
      <c r="G30" s="1" t="s">
        <v>652</v>
      </c>
    </row>
    <row x14ac:dyDescent="0.25" r="31" customHeight="1" ht="18.75">
      <c r="A31" s="7">
        <v>1</v>
      </c>
      <c r="B31" s="1" t="s">
        <v>333</v>
      </c>
      <c r="C31" s="1" t="s">
        <v>681</v>
      </c>
      <c r="D31" s="7">
        <v>17</v>
      </c>
      <c r="E31" s="7">
        <v>3</v>
      </c>
      <c r="F31" s="7">
        <v>20</v>
      </c>
      <c r="G31" s="1" t="s">
        <v>652</v>
      </c>
    </row>
    <row x14ac:dyDescent="0.25" r="32" customHeight="1" ht="18.75">
      <c r="A32" s="7">
        <v>1</v>
      </c>
      <c r="B32" s="1" t="s">
        <v>462</v>
      </c>
      <c r="C32" s="1" t="s">
        <v>682</v>
      </c>
      <c r="D32" s="7">
        <v>14</v>
      </c>
      <c r="E32" s="7">
        <v>7</v>
      </c>
      <c r="F32" s="7">
        <v>21</v>
      </c>
      <c r="G32" s="1" t="s">
        <v>652</v>
      </c>
    </row>
    <row x14ac:dyDescent="0.25" r="33" customHeight="1" ht="18.75">
      <c r="A33" s="7">
        <v>1</v>
      </c>
      <c r="B33" s="1" t="s">
        <v>462</v>
      </c>
      <c r="C33" s="1" t="s">
        <v>683</v>
      </c>
      <c r="D33" s="7">
        <v>6</v>
      </c>
      <c r="E33" s="7">
        <v>6</v>
      </c>
      <c r="F33" s="7">
        <v>12</v>
      </c>
      <c r="G33" s="1" t="s">
        <v>652</v>
      </c>
    </row>
    <row x14ac:dyDescent="0.25" r="34" customHeight="1" ht="18.75">
      <c r="A34" s="7">
        <v>1</v>
      </c>
      <c r="B34" s="1" t="s">
        <v>462</v>
      </c>
      <c r="C34" s="1" t="s">
        <v>684</v>
      </c>
      <c r="D34" s="7">
        <v>10</v>
      </c>
      <c r="E34" s="7">
        <v>2</v>
      </c>
      <c r="F34" s="7">
        <v>12</v>
      </c>
      <c r="G34" s="1" t="s">
        <v>652</v>
      </c>
    </row>
    <row x14ac:dyDescent="0.25" r="35" customHeight="1" ht="18.75">
      <c r="A35" s="7">
        <v>1</v>
      </c>
      <c r="B35" s="1" t="s">
        <v>462</v>
      </c>
      <c r="C35" s="1" t="s">
        <v>685</v>
      </c>
      <c r="D35" s="7">
        <v>6</v>
      </c>
      <c r="E35" s="7">
        <v>3</v>
      </c>
      <c r="F35" s="7">
        <v>9</v>
      </c>
      <c r="G35" s="1" t="s">
        <v>652</v>
      </c>
    </row>
    <row x14ac:dyDescent="0.25" r="36" customHeight="1" ht="18.75">
      <c r="A36" s="7">
        <v>1</v>
      </c>
      <c r="B36" s="1" t="s">
        <v>371</v>
      </c>
      <c r="C36" s="1" t="s">
        <v>686</v>
      </c>
      <c r="D36" s="7">
        <v>4</v>
      </c>
      <c r="E36" s="7">
        <v>12</v>
      </c>
      <c r="F36" s="7">
        <v>16</v>
      </c>
      <c r="G36" s="1" t="s">
        <v>652</v>
      </c>
    </row>
    <row x14ac:dyDescent="0.25" r="37" customHeight="1" ht="18.75">
      <c r="A37" s="7">
        <v>1</v>
      </c>
      <c r="B37" s="1" t="s">
        <v>415</v>
      </c>
      <c r="C37" s="1" t="s">
        <v>687</v>
      </c>
      <c r="D37" s="7">
        <v>6</v>
      </c>
      <c r="E37" s="7">
        <v>0</v>
      </c>
      <c r="F37" s="7">
        <v>6</v>
      </c>
      <c r="G37" s="1" t="s">
        <v>652</v>
      </c>
    </row>
    <row x14ac:dyDescent="0.25" r="38" customHeight="1" ht="18.75">
      <c r="A38" s="7">
        <v>1</v>
      </c>
      <c r="B38" s="1" t="s">
        <v>415</v>
      </c>
      <c r="C38" s="1" t="s">
        <v>688</v>
      </c>
      <c r="D38" s="7">
        <v>9</v>
      </c>
      <c r="E38" s="7">
        <v>0</v>
      </c>
      <c r="F38" s="7">
        <v>9</v>
      </c>
      <c r="G38" s="1" t="s">
        <v>652</v>
      </c>
    </row>
    <row x14ac:dyDescent="0.25" r="39" customHeight="1" ht="18.75">
      <c r="A39" s="7">
        <v>1</v>
      </c>
      <c r="B39" s="1" t="s">
        <v>335</v>
      </c>
      <c r="C39" s="1" t="s">
        <v>689</v>
      </c>
      <c r="D39" s="7">
        <v>10</v>
      </c>
      <c r="E39" s="7">
        <v>13</v>
      </c>
      <c r="F39" s="7">
        <v>23</v>
      </c>
      <c r="G39" s="1" t="s">
        <v>652</v>
      </c>
    </row>
    <row x14ac:dyDescent="0.25" r="40" customHeight="1" ht="18.75">
      <c r="A40" s="7">
        <v>1</v>
      </c>
      <c r="B40" s="1" t="s">
        <v>416</v>
      </c>
      <c r="C40" s="1" t="s">
        <v>690</v>
      </c>
      <c r="D40" s="7">
        <v>1</v>
      </c>
      <c r="E40" s="7">
        <v>1</v>
      </c>
      <c r="F40" s="7">
        <v>2</v>
      </c>
      <c r="G40" s="1" t="s">
        <v>652</v>
      </c>
    </row>
    <row x14ac:dyDescent="0.25" r="41" customHeight="1" ht="18.75">
      <c r="A41" s="7">
        <v>1</v>
      </c>
      <c r="B41" s="1" t="s">
        <v>416</v>
      </c>
      <c r="C41" s="1" t="s">
        <v>691</v>
      </c>
      <c r="D41" s="7">
        <v>5</v>
      </c>
      <c r="E41" s="7">
        <v>0</v>
      </c>
      <c r="F41" s="7">
        <v>5</v>
      </c>
      <c r="G41" s="1" t="s">
        <v>652</v>
      </c>
    </row>
    <row x14ac:dyDescent="0.25" r="42" customHeight="1" ht="18.75">
      <c r="A42" s="7">
        <v>1</v>
      </c>
      <c r="B42" s="1" t="s">
        <v>399</v>
      </c>
      <c r="C42" s="1" t="s">
        <v>692</v>
      </c>
      <c r="D42" s="7">
        <v>3</v>
      </c>
      <c r="E42" s="7">
        <v>0</v>
      </c>
      <c r="F42" s="7">
        <v>3</v>
      </c>
      <c r="G42" s="1" t="s">
        <v>652</v>
      </c>
    </row>
    <row x14ac:dyDescent="0.25" r="43" customHeight="1" ht="18.75">
      <c r="A43" s="7">
        <v>1</v>
      </c>
      <c r="B43" s="1" t="s">
        <v>337</v>
      </c>
      <c r="C43" s="1" t="s">
        <v>693</v>
      </c>
      <c r="D43" s="7">
        <v>1</v>
      </c>
      <c r="E43" s="7">
        <v>1</v>
      </c>
      <c r="F43" s="7">
        <v>2</v>
      </c>
      <c r="G43" s="1" t="s">
        <v>652</v>
      </c>
    </row>
    <row x14ac:dyDescent="0.25" r="44" customHeight="1" ht="18.75">
      <c r="A44" s="7">
        <v>1</v>
      </c>
      <c r="B44" s="1" t="s">
        <v>480</v>
      </c>
      <c r="C44" s="1" t="s">
        <v>694</v>
      </c>
      <c r="D44" s="7">
        <v>171</v>
      </c>
      <c r="E44" s="7">
        <v>119</v>
      </c>
      <c r="F44" s="7">
        <v>290</v>
      </c>
      <c r="G44" s="1" t="s">
        <v>652</v>
      </c>
    </row>
    <row x14ac:dyDescent="0.25" r="45" customHeight="1" ht="18.75">
      <c r="A45" s="7">
        <v>1</v>
      </c>
      <c r="B45" s="1" t="s">
        <v>480</v>
      </c>
      <c r="C45" s="1" t="s">
        <v>695</v>
      </c>
      <c r="D45" s="7">
        <v>63</v>
      </c>
      <c r="E45" s="7">
        <v>37</v>
      </c>
      <c r="F45" s="7">
        <v>100</v>
      </c>
      <c r="G45" s="1" t="s">
        <v>652</v>
      </c>
    </row>
    <row x14ac:dyDescent="0.25" r="46" customHeight="1" ht="18.75">
      <c r="A46" s="7">
        <v>1</v>
      </c>
      <c r="B46" s="1" t="s">
        <v>480</v>
      </c>
      <c r="C46" s="1" t="s">
        <v>696</v>
      </c>
      <c r="D46" s="7">
        <v>67</v>
      </c>
      <c r="E46" s="7">
        <v>36</v>
      </c>
      <c r="F46" s="7">
        <v>103</v>
      </c>
      <c r="G46" s="1" t="s">
        <v>652</v>
      </c>
    </row>
    <row x14ac:dyDescent="0.25" r="47" customHeight="1" ht="18.75">
      <c r="A47" s="7">
        <v>1</v>
      </c>
      <c r="B47" s="1" t="s">
        <v>480</v>
      </c>
      <c r="C47" s="1" t="s">
        <v>697</v>
      </c>
      <c r="D47" s="7">
        <v>104</v>
      </c>
      <c r="E47" s="7">
        <v>52</v>
      </c>
      <c r="F47" s="7">
        <v>156</v>
      </c>
      <c r="G47" s="1" t="s">
        <v>652</v>
      </c>
    </row>
    <row x14ac:dyDescent="0.25" r="48" customHeight="1" ht="18.75">
      <c r="A48" s="7">
        <v>1</v>
      </c>
      <c r="B48" s="1" t="s">
        <v>480</v>
      </c>
      <c r="C48" s="1" t="s">
        <v>698</v>
      </c>
      <c r="D48" s="7">
        <v>146</v>
      </c>
      <c r="E48" s="7">
        <v>101</v>
      </c>
      <c r="F48" s="7">
        <v>247</v>
      </c>
      <c r="G48" s="1" t="s">
        <v>652</v>
      </c>
    </row>
    <row x14ac:dyDescent="0.25" r="49" customHeight="1" ht="18.75">
      <c r="A49" s="7">
        <v>1</v>
      </c>
      <c r="B49" s="1" t="s">
        <v>480</v>
      </c>
      <c r="C49" s="1" t="s">
        <v>699</v>
      </c>
      <c r="D49" s="7">
        <v>8</v>
      </c>
      <c r="E49" s="7">
        <v>0</v>
      </c>
      <c r="F49" s="7">
        <v>8</v>
      </c>
      <c r="G49" s="1" t="s">
        <v>652</v>
      </c>
    </row>
    <row x14ac:dyDescent="0.25" r="50" customHeight="1" ht="18.75">
      <c r="A50" s="7">
        <v>1</v>
      </c>
      <c r="B50" s="1" t="s">
        <v>373</v>
      </c>
      <c r="C50" s="1" t="s">
        <v>657</v>
      </c>
      <c r="D50" s="7">
        <v>18</v>
      </c>
      <c r="E50" s="7">
        <v>12</v>
      </c>
      <c r="F50" s="7">
        <v>30</v>
      </c>
      <c r="G50" s="1" t="s">
        <v>652</v>
      </c>
    </row>
    <row x14ac:dyDescent="0.25" r="51" customHeight="1" ht="18.75">
      <c r="A51" s="7">
        <v>1</v>
      </c>
      <c r="B51" s="1" t="s">
        <v>339</v>
      </c>
      <c r="C51" s="1" t="s">
        <v>657</v>
      </c>
      <c r="D51" s="7">
        <v>25</v>
      </c>
      <c r="E51" s="7">
        <v>8</v>
      </c>
      <c r="F51" s="7">
        <v>33</v>
      </c>
      <c r="G51" s="1" t="s">
        <v>652</v>
      </c>
    </row>
    <row x14ac:dyDescent="0.25" r="52" customHeight="1" ht="18.75">
      <c r="A52" s="7">
        <v>1</v>
      </c>
      <c r="B52" s="1" t="s">
        <v>487</v>
      </c>
      <c r="C52" s="1" t="s">
        <v>700</v>
      </c>
      <c r="D52" s="7">
        <v>25</v>
      </c>
      <c r="E52" s="7">
        <v>10</v>
      </c>
      <c r="F52" s="7">
        <v>35</v>
      </c>
      <c r="G52" s="1" t="s">
        <v>652</v>
      </c>
    </row>
    <row x14ac:dyDescent="0.25" r="53" customHeight="1" ht="18.75">
      <c r="A53" s="7">
        <v>1</v>
      </c>
      <c r="B53" s="1" t="s">
        <v>487</v>
      </c>
      <c r="C53" s="1" t="s">
        <v>701</v>
      </c>
      <c r="D53" s="7">
        <v>9</v>
      </c>
      <c r="E53" s="7">
        <v>9</v>
      </c>
      <c r="F53" s="7">
        <v>18</v>
      </c>
      <c r="G53" s="1" t="s">
        <v>652</v>
      </c>
    </row>
    <row x14ac:dyDescent="0.25" r="54" customHeight="1" ht="18.75">
      <c r="A54" s="7">
        <v>1</v>
      </c>
      <c r="B54" s="1" t="s">
        <v>487</v>
      </c>
      <c r="C54" s="1" t="s">
        <v>702</v>
      </c>
      <c r="D54" s="7">
        <v>5</v>
      </c>
      <c r="E54" s="7">
        <v>16</v>
      </c>
      <c r="F54" s="7">
        <v>21</v>
      </c>
      <c r="G54" s="1" t="s">
        <v>652</v>
      </c>
    </row>
    <row x14ac:dyDescent="0.25" r="55" customHeight="1" ht="18.75">
      <c r="A55" s="7">
        <v>1</v>
      </c>
      <c r="B55" s="1" t="s">
        <v>487</v>
      </c>
      <c r="C55" s="1" t="s">
        <v>703</v>
      </c>
      <c r="D55" s="7">
        <v>5</v>
      </c>
      <c r="E55" s="7">
        <v>4</v>
      </c>
      <c r="F55" s="7">
        <v>9</v>
      </c>
      <c r="G55" s="1" t="s">
        <v>652</v>
      </c>
    </row>
    <row x14ac:dyDescent="0.25" r="56" customHeight="1" ht="18.75">
      <c r="A56" s="7">
        <v>1</v>
      </c>
      <c r="B56" s="1" t="s">
        <v>487</v>
      </c>
      <c r="C56" s="1" t="s">
        <v>682</v>
      </c>
      <c r="D56" s="7">
        <v>9</v>
      </c>
      <c r="E56" s="7">
        <v>6</v>
      </c>
      <c r="F56" s="7">
        <v>15</v>
      </c>
      <c r="G56" s="1" t="s">
        <v>652</v>
      </c>
    </row>
    <row x14ac:dyDescent="0.25" r="57" customHeight="1" ht="18.75">
      <c r="A57" s="7">
        <v>1</v>
      </c>
      <c r="B57" s="1" t="s">
        <v>487</v>
      </c>
      <c r="C57" s="1" t="s">
        <v>683</v>
      </c>
      <c r="D57" s="7">
        <v>6</v>
      </c>
      <c r="E57" s="7">
        <v>6</v>
      </c>
      <c r="F57" s="7">
        <v>12</v>
      </c>
      <c r="G57" s="1" t="s">
        <v>652</v>
      </c>
    </row>
    <row x14ac:dyDescent="0.25" r="58" customHeight="1" ht="18.75">
      <c r="A58" s="7">
        <v>1</v>
      </c>
      <c r="B58" s="1" t="s">
        <v>487</v>
      </c>
      <c r="C58" s="1" t="s">
        <v>704</v>
      </c>
      <c r="D58" s="7">
        <v>4</v>
      </c>
      <c r="E58" s="7">
        <v>2</v>
      </c>
      <c r="F58" s="7">
        <v>6</v>
      </c>
      <c r="G58" s="1" t="s">
        <v>652</v>
      </c>
    </row>
    <row x14ac:dyDescent="0.25" r="59" customHeight="1" ht="18.75">
      <c r="A59" s="7">
        <v>1</v>
      </c>
      <c r="B59" s="1" t="s">
        <v>487</v>
      </c>
      <c r="C59" s="1" t="s">
        <v>684</v>
      </c>
      <c r="D59" s="7">
        <v>16</v>
      </c>
      <c r="E59" s="7">
        <v>6</v>
      </c>
      <c r="F59" s="7">
        <v>22</v>
      </c>
      <c r="G59" s="1" t="s">
        <v>652</v>
      </c>
    </row>
    <row x14ac:dyDescent="0.25" r="60" customHeight="1" ht="18.75">
      <c r="A60" s="7">
        <v>1</v>
      </c>
      <c r="B60" s="1" t="s">
        <v>487</v>
      </c>
      <c r="C60" s="1" t="s">
        <v>705</v>
      </c>
      <c r="D60" s="7">
        <v>27</v>
      </c>
      <c r="E60" s="7">
        <v>22</v>
      </c>
      <c r="F60" s="7">
        <v>49</v>
      </c>
      <c r="G60" s="1" t="s">
        <v>652</v>
      </c>
    </row>
    <row x14ac:dyDescent="0.25" r="61" customHeight="1" ht="18.75">
      <c r="A61" s="7">
        <v>1</v>
      </c>
      <c r="B61" s="1" t="s">
        <v>487</v>
      </c>
      <c r="C61" s="1" t="s">
        <v>706</v>
      </c>
      <c r="D61" s="7">
        <v>1</v>
      </c>
      <c r="E61" s="7">
        <v>1</v>
      </c>
      <c r="F61" s="7">
        <v>2</v>
      </c>
      <c r="G61" s="1" t="s">
        <v>652</v>
      </c>
    </row>
    <row x14ac:dyDescent="0.25" r="62" customHeight="1" ht="18.75">
      <c r="A62" s="7">
        <v>1</v>
      </c>
      <c r="B62" s="1" t="s">
        <v>487</v>
      </c>
      <c r="C62" s="1" t="s">
        <v>685</v>
      </c>
      <c r="D62" s="7">
        <v>6</v>
      </c>
      <c r="E62" s="7">
        <v>3</v>
      </c>
      <c r="F62" s="7">
        <v>9</v>
      </c>
      <c r="G62" s="1" t="s">
        <v>652</v>
      </c>
    </row>
    <row x14ac:dyDescent="0.25" r="63" customHeight="1" ht="18.75">
      <c r="A63" s="7">
        <v>1</v>
      </c>
      <c r="B63" s="1" t="s">
        <v>391</v>
      </c>
      <c r="C63" s="1" t="s">
        <v>707</v>
      </c>
      <c r="D63" s="7">
        <v>1</v>
      </c>
      <c r="E63" s="7">
        <v>0</v>
      </c>
      <c r="F63" s="7">
        <v>1</v>
      </c>
      <c r="G63" s="1" t="s">
        <v>652</v>
      </c>
    </row>
    <row x14ac:dyDescent="0.25" r="64" customHeight="1" ht="18.75">
      <c r="A64" s="7">
        <v>1</v>
      </c>
      <c r="B64" s="1" t="s">
        <v>341</v>
      </c>
      <c r="C64" s="1" t="s">
        <v>708</v>
      </c>
      <c r="D64" s="7">
        <v>3</v>
      </c>
      <c r="E64" s="7">
        <v>1</v>
      </c>
      <c r="F64" s="7">
        <v>4</v>
      </c>
      <c r="G64" s="1" t="s">
        <v>652</v>
      </c>
    </row>
    <row x14ac:dyDescent="0.25" r="65" customHeight="1" ht="18.75">
      <c r="A65" s="7">
        <v>1</v>
      </c>
      <c r="B65" s="1" t="s">
        <v>375</v>
      </c>
      <c r="C65" s="1" t="s">
        <v>709</v>
      </c>
      <c r="D65" s="7">
        <v>2</v>
      </c>
      <c r="E65" s="7">
        <v>2</v>
      </c>
      <c r="F65" s="7">
        <v>4</v>
      </c>
      <c r="G65" s="1" t="s">
        <v>652</v>
      </c>
    </row>
    <row x14ac:dyDescent="0.25" r="66" customHeight="1" ht="18.75">
      <c r="A66" s="7">
        <v>1</v>
      </c>
      <c r="B66" s="1" t="s">
        <v>475</v>
      </c>
      <c r="C66" s="1" t="s">
        <v>653</v>
      </c>
      <c r="D66" s="7">
        <v>2</v>
      </c>
      <c r="E66" s="7">
        <v>2</v>
      </c>
      <c r="F66" s="7">
        <v>4</v>
      </c>
      <c r="G66" s="1" t="s">
        <v>652</v>
      </c>
    </row>
    <row x14ac:dyDescent="0.25" r="67" customHeight="1" ht="18.75">
      <c r="A67" s="7">
        <v>1</v>
      </c>
      <c r="B67" s="1" t="s">
        <v>475</v>
      </c>
      <c r="C67" s="1" t="s">
        <v>654</v>
      </c>
      <c r="D67" s="7">
        <v>1</v>
      </c>
      <c r="E67" s="7">
        <v>1</v>
      </c>
      <c r="F67" s="7">
        <v>2</v>
      </c>
      <c r="G67" s="1" t="s">
        <v>652</v>
      </c>
    </row>
    <row x14ac:dyDescent="0.25" r="68" customHeight="1" ht="18.75">
      <c r="A68" s="7">
        <v>1</v>
      </c>
      <c r="B68" s="1" t="s">
        <v>475</v>
      </c>
      <c r="C68" s="1" t="s">
        <v>655</v>
      </c>
      <c r="D68" s="7">
        <v>20</v>
      </c>
      <c r="E68" s="7">
        <v>14</v>
      </c>
      <c r="F68" s="7">
        <v>34</v>
      </c>
      <c r="G68" s="1" t="s">
        <v>652</v>
      </c>
    </row>
    <row x14ac:dyDescent="0.25" r="69" customHeight="1" ht="18.75">
      <c r="A69" s="7">
        <v>1</v>
      </c>
      <c r="B69" s="1" t="s">
        <v>475</v>
      </c>
      <c r="C69" s="1" t="s">
        <v>656</v>
      </c>
      <c r="D69" s="7">
        <v>8</v>
      </c>
      <c r="E69" s="7">
        <v>3</v>
      </c>
      <c r="F69" s="7">
        <v>11</v>
      </c>
      <c r="G69" s="1" t="s">
        <v>652</v>
      </c>
    </row>
    <row x14ac:dyDescent="0.25" r="70" customHeight="1" ht="18.75">
      <c r="A70" s="7">
        <v>1</v>
      </c>
      <c r="B70" s="1" t="s">
        <v>475</v>
      </c>
      <c r="C70" s="1" t="s">
        <v>657</v>
      </c>
      <c r="D70" s="7">
        <v>4</v>
      </c>
      <c r="E70" s="7">
        <v>4</v>
      </c>
      <c r="F70" s="7">
        <v>8</v>
      </c>
      <c r="G70" s="1" t="s">
        <v>652</v>
      </c>
    </row>
    <row x14ac:dyDescent="0.25" r="71" customHeight="1" ht="18.75">
      <c r="A71" s="7">
        <v>1</v>
      </c>
      <c r="B71" s="1" t="s">
        <v>475</v>
      </c>
      <c r="C71" s="1" t="s">
        <v>658</v>
      </c>
      <c r="D71" s="7">
        <v>2</v>
      </c>
      <c r="E71" s="7">
        <v>2</v>
      </c>
      <c r="F71" s="7">
        <v>4</v>
      </c>
      <c r="G71" s="1" t="s">
        <v>652</v>
      </c>
    </row>
    <row x14ac:dyDescent="0.25" r="72" customHeight="1" ht="18.75">
      <c r="A72" s="7">
        <v>1</v>
      </c>
      <c r="B72" s="1" t="s">
        <v>343</v>
      </c>
      <c r="C72" s="1" t="s">
        <v>710</v>
      </c>
      <c r="D72" s="7">
        <v>4</v>
      </c>
      <c r="E72" s="7">
        <v>5</v>
      </c>
      <c r="F72" s="7">
        <v>9</v>
      </c>
      <c r="G72" s="1" t="s">
        <v>652</v>
      </c>
    </row>
    <row x14ac:dyDescent="0.25" r="73" customHeight="1" ht="18.75">
      <c r="A73" s="7">
        <v>1</v>
      </c>
      <c r="B73" s="1" t="s">
        <v>424</v>
      </c>
      <c r="C73" s="1" t="s">
        <v>711</v>
      </c>
      <c r="D73" s="7">
        <v>11</v>
      </c>
      <c r="E73" s="7">
        <v>8</v>
      </c>
      <c r="F73" s="7">
        <v>19</v>
      </c>
      <c r="G73" s="1" t="s">
        <v>652</v>
      </c>
    </row>
    <row x14ac:dyDescent="0.25" r="74" customHeight="1" ht="18.75">
      <c r="A74" s="7">
        <v>1</v>
      </c>
      <c r="B74" s="1" t="s">
        <v>424</v>
      </c>
      <c r="C74" s="1" t="s">
        <v>712</v>
      </c>
      <c r="D74" s="7">
        <v>2</v>
      </c>
      <c r="E74" s="7">
        <v>2</v>
      </c>
      <c r="F74" s="7">
        <v>4</v>
      </c>
      <c r="G74" s="1" t="s">
        <v>652</v>
      </c>
    </row>
    <row x14ac:dyDescent="0.25" r="75" customHeight="1" ht="18.75">
      <c r="A75" s="7">
        <v>1</v>
      </c>
      <c r="B75" s="1" t="s">
        <v>407</v>
      </c>
      <c r="C75" s="1" t="s">
        <v>713</v>
      </c>
      <c r="D75" s="7">
        <v>6</v>
      </c>
      <c r="E75" s="7">
        <v>6</v>
      </c>
      <c r="F75" s="7">
        <v>12</v>
      </c>
      <c r="G75" s="1" t="s">
        <v>652</v>
      </c>
    </row>
    <row x14ac:dyDescent="0.25" r="76" customHeight="1" ht="18.75">
      <c r="A76" s="7">
        <v>1</v>
      </c>
      <c r="B76" s="1" t="s">
        <v>345</v>
      </c>
      <c r="C76" s="1" t="s">
        <v>665</v>
      </c>
      <c r="D76" s="7">
        <v>4</v>
      </c>
      <c r="E76" s="7">
        <v>1</v>
      </c>
      <c r="F76" s="7">
        <v>5</v>
      </c>
      <c r="G76" s="1" t="s">
        <v>652</v>
      </c>
    </row>
    <row x14ac:dyDescent="0.25" r="77" customHeight="1" ht="18.75">
      <c r="A77" s="7">
        <v>1</v>
      </c>
      <c r="B77" s="1" t="s">
        <v>419</v>
      </c>
      <c r="C77" s="1" t="s">
        <v>657</v>
      </c>
      <c r="D77" s="7">
        <v>31</v>
      </c>
      <c r="E77" s="7">
        <v>37</v>
      </c>
      <c r="F77" s="7">
        <v>68</v>
      </c>
      <c r="G77" s="1" t="s">
        <v>652</v>
      </c>
    </row>
    <row x14ac:dyDescent="0.25" r="78" customHeight="1" ht="18.75">
      <c r="A78" s="7">
        <v>1</v>
      </c>
      <c r="B78" s="1" t="s">
        <v>419</v>
      </c>
      <c r="C78" s="1" t="s">
        <v>658</v>
      </c>
      <c r="D78" s="7">
        <v>0</v>
      </c>
      <c r="E78" s="7">
        <v>8</v>
      </c>
      <c r="F78" s="7">
        <v>8</v>
      </c>
      <c r="G78" s="1" t="s">
        <v>652</v>
      </c>
    </row>
    <row x14ac:dyDescent="0.25" r="79" customHeight="1" ht="18.75">
      <c r="A79" s="7">
        <v>1</v>
      </c>
      <c r="B79" s="1" t="s">
        <v>377</v>
      </c>
      <c r="C79" s="1" t="s">
        <v>714</v>
      </c>
      <c r="D79" s="7">
        <v>18</v>
      </c>
      <c r="E79" s="7">
        <v>6</v>
      </c>
      <c r="F79" s="7">
        <v>24</v>
      </c>
      <c r="G79" s="1" t="s">
        <v>652</v>
      </c>
    </row>
    <row x14ac:dyDescent="0.25" r="80" customHeight="1" ht="18.75">
      <c r="A80" s="7">
        <v>1</v>
      </c>
      <c r="B80" s="1" t="s">
        <v>435</v>
      </c>
      <c r="C80" s="1" t="s">
        <v>665</v>
      </c>
      <c r="D80" s="7">
        <v>18</v>
      </c>
      <c r="E80" s="7">
        <v>12</v>
      </c>
      <c r="F80" s="7">
        <v>30</v>
      </c>
      <c r="G80" s="1" t="s">
        <v>652</v>
      </c>
    </row>
    <row x14ac:dyDescent="0.25" r="81" customHeight="1" ht="18.75">
      <c r="A81" s="7">
        <v>1</v>
      </c>
      <c r="B81" s="1" t="s">
        <v>435</v>
      </c>
      <c r="C81" s="1" t="s">
        <v>715</v>
      </c>
      <c r="D81" s="7">
        <v>1</v>
      </c>
      <c r="E81" s="7">
        <v>0</v>
      </c>
      <c r="F81" s="7">
        <v>1</v>
      </c>
      <c r="G81" s="1" t="s">
        <v>652</v>
      </c>
    </row>
    <row x14ac:dyDescent="0.25" r="82" customHeight="1" ht="18.75">
      <c r="A82" s="7">
        <v>1</v>
      </c>
      <c r="B82" s="1" t="s">
        <v>435</v>
      </c>
      <c r="C82" s="1" t="s">
        <v>716</v>
      </c>
      <c r="D82" s="7">
        <v>1</v>
      </c>
      <c r="E82" s="7">
        <v>0</v>
      </c>
      <c r="F82" s="7">
        <v>1</v>
      </c>
      <c r="G82" s="1" t="s">
        <v>652</v>
      </c>
    </row>
    <row x14ac:dyDescent="0.25" r="83" customHeight="1" ht="18.75">
      <c r="A83" s="7">
        <v>1</v>
      </c>
      <c r="B83" s="1" t="s">
        <v>347</v>
      </c>
      <c r="C83" s="1" t="s">
        <v>680</v>
      </c>
      <c r="D83" s="7">
        <v>1</v>
      </c>
      <c r="E83" s="7">
        <v>1</v>
      </c>
      <c r="F83" s="7">
        <v>2</v>
      </c>
      <c r="G83" s="1" t="s">
        <v>652</v>
      </c>
    </row>
    <row x14ac:dyDescent="0.25" r="84" customHeight="1" ht="18.75">
      <c r="A84" s="7">
        <v>1</v>
      </c>
      <c r="B84" s="1" t="s">
        <v>393</v>
      </c>
      <c r="C84" s="1" t="s">
        <v>664</v>
      </c>
      <c r="D84" s="7">
        <v>3</v>
      </c>
      <c r="E84" s="7">
        <v>4</v>
      </c>
      <c r="F84" s="7">
        <v>7</v>
      </c>
      <c r="G84" s="1" t="s">
        <v>652</v>
      </c>
    </row>
    <row x14ac:dyDescent="0.25" r="85" customHeight="1" ht="18.75">
      <c r="A85" s="7">
        <v>1</v>
      </c>
      <c r="B85" s="1" t="s">
        <v>460</v>
      </c>
      <c r="C85" s="1" t="s">
        <v>717</v>
      </c>
      <c r="D85" s="7">
        <v>2</v>
      </c>
      <c r="E85" s="7">
        <v>0</v>
      </c>
      <c r="F85" s="7">
        <v>2</v>
      </c>
      <c r="G85" s="1" t="s">
        <v>652</v>
      </c>
    </row>
    <row x14ac:dyDescent="0.25" r="86" customHeight="1" ht="18.75">
      <c r="A86" s="7">
        <v>1</v>
      </c>
      <c r="B86" s="1" t="s">
        <v>460</v>
      </c>
      <c r="C86" s="1" t="s">
        <v>718</v>
      </c>
      <c r="D86" s="7">
        <v>4</v>
      </c>
      <c r="E86" s="7">
        <v>0</v>
      </c>
      <c r="F86" s="7">
        <v>4</v>
      </c>
      <c r="G86" s="1" t="s">
        <v>652</v>
      </c>
    </row>
    <row x14ac:dyDescent="0.25" r="87" customHeight="1" ht="18.75">
      <c r="A87" s="7">
        <v>1</v>
      </c>
      <c r="B87" s="1" t="s">
        <v>460</v>
      </c>
      <c r="C87" s="1" t="s">
        <v>719</v>
      </c>
      <c r="D87" s="7">
        <v>4</v>
      </c>
      <c r="E87" s="7">
        <v>0</v>
      </c>
      <c r="F87" s="7">
        <v>4</v>
      </c>
      <c r="G87" s="1" t="s">
        <v>652</v>
      </c>
    </row>
    <row x14ac:dyDescent="0.25" r="88" customHeight="1" ht="18.75">
      <c r="A88" s="7">
        <v>1</v>
      </c>
      <c r="B88" s="1" t="s">
        <v>460</v>
      </c>
      <c r="C88" s="1" t="s">
        <v>720</v>
      </c>
      <c r="D88" s="7">
        <v>30</v>
      </c>
      <c r="E88" s="7">
        <v>0</v>
      </c>
      <c r="F88" s="7">
        <v>30</v>
      </c>
      <c r="G88" s="1" t="s">
        <v>721</v>
      </c>
    </row>
    <row x14ac:dyDescent="0.25" r="89" customHeight="1" ht="18.75">
      <c r="A89" s="7">
        <v>1</v>
      </c>
      <c r="B89" s="1" t="s">
        <v>430</v>
      </c>
      <c r="C89" s="1" t="s">
        <v>657</v>
      </c>
      <c r="D89" s="7">
        <v>57</v>
      </c>
      <c r="E89" s="7">
        <v>22</v>
      </c>
      <c r="F89" s="7">
        <v>79</v>
      </c>
      <c r="G89" s="1" t="s">
        <v>652</v>
      </c>
    </row>
    <row x14ac:dyDescent="0.25" r="90" customHeight="1" ht="18.75">
      <c r="A90" s="7">
        <v>1</v>
      </c>
      <c r="B90" s="1" t="s">
        <v>430</v>
      </c>
      <c r="C90" s="1" t="s">
        <v>658</v>
      </c>
      <c r="D90" s="7">
        <v>27</v>
      </c>
      <c r="E90" s="7">
        <v>3</v>
      </c>
      <c r="F90" s="7">
        <v>30</v>
      </c>
      <c r="G90" s="1" t="s">
        <v>652</v>
      </c>
    </row>
    <row x14ac:dyDescent="0.25" r="91" customHeight="1" ht="18.75">
      <c r="A91" s="7">
        <v>1</v>
      </c>
      <c r="B91" s="1" t="s">
        <v>412</v>
      </c>
      <c r="C91" s="1" t="s">
        <v>722</v>
      </c>
      <c r="D91" s="7">
        <v>7</v>
      </c>
      <c r="E91" s="7">
        <v>1</v>
      </c>
      <c r="F91" s="7">
        <v>8</v>
      </c>
      <c r="G91" s="1" t="s">
        <v>652</v>
      </c>
    </row>
    <row x14ac:dyDescent="0.25" r="92" customHeight="1" ht="18.75">
      <c r="A92" s="7">
        <v>1</v>
      </c>
      <c r="B92" s="1" t="s">
        <v>412</v>
      </c>
      <c r="C92" s="1" t="s">
        <v>723</v>
      </c>
      <c r="D92" s="7">
        <v>3</v>
      </c>
      <c r="E92" s="7">
        <v>0</v>
      </c>
      <c r="F92" s="7">
        <v>3</v>
      </c>
      <c r="G92" s="1" t="s">
        <v>652</v>
      </c>
    </row>
    <row x14ac:dyDescent="0.25" r="93" customHeight="1" ht="18.75">
      <c r="A93" s="7">
        <v>1</v>
      </c>
      <c r="B93" s="1" t="s">
        <v>349</v>
      </c>
      <c r="C93" s="1" t="s">
        <v>724</v>
      </c>
      <c r="D93" s="7">
        <v>1</v>
      </c>
      <c r="E93" s="7">
        <v>1</v>
      </c>
      <c r="F93" s="7">
        <v>2</v>
      </c>
      <c r="G93" s="1" t="s">
        <v>652</v>
      </c>
    </row>
    <row x14ac:dyDescent="0.25" r="94" customHeight="1" ht="18.75">
      <c r="A94" s="7">
        <v>1</v>
      </c>
      <c r="B94" s="1" t="s">
        <v>413</v>
      </c>
      <c r="C94" s="1" t="s">
        <v>725</v>
      </c>
      <c r="D94" s="7">
        <v>2</v>
      </c>
      <c r="E94" s="7">
        <v>0</v>
      </c>
      <c r="F94" s="7">
        <v>2</v>
      </c>
      <c r="G94" s="1" t="s">
        <v>652</v>
      </c>
    </row>
    <row x14ac:dyDescent="0.25" r="95" customHeight="1" ht="18.75">
      <c r="A95" s="7">
        <v>1</v>
      </c>
      <c r="B95" s="1" t="s">
        <v>413</v>
      </c>
      <c r="C95" s="1" t="s">
        <v>726</v>
      </c>
      <c r="D95" s="7">
        <v>1</v>
      </c>
      <c r="E95" s="7">
        <v>1</v>
      </c>
      <c r="F95" s="7">
        <v>2</v>
      </c>
      <c r="G95" s="1" t="s">
        <v>652</v>
      </c>
    </row>
    <row x14ac:dyDescent="0.25" r="96" customHeight="1" ht="18.75">
      <c r="A96" s="7">
        <v>1</v>
      </c>
      <c r="B96" s="1" t="s">
        <v>379</v>
      </c>
      <c r="C96" s="1" t="s">
        <v>727</v>
      </c>
      <c r="D96" s="7">
        <v>5</v>
      </c>
      <c r="E96" s="7">
        <v>5</v>
      </c>
      <c r="F96" s="7">
        <v>10</v>
      </c>
      <c r="G96" s="1" t="s">
        <v>652</v>
      </c>
    </row>
    <row x14ac:dyDescent="0.25" r="97" customHeight="1" ht="18.75">
      <c r="A97" s="7">
        <v>1</v>
      </c>
      <c r="B97" s="1" t="s">
        <v>425</v>
      </c>
      <c r="C97" s="1" t="s">
        <v>728</v>
      </c>
      <c r="D97" s="7">
        <v>11</v>
      </c>
      <c r="E97" s="7">
        <v>7</v>
      </c>
      <c r="F97" s="7">
        <v>18</v>
      </c>
      <c r="G97" s="1" t="s">
        <v>652</v>
      </c>
    </row>
    <row x14ac:dyDescent="0.25" r="98" customHeight="1" ht="18.75">
      <c r="A98" s="7">
        <v>1</v>
      </c>
      <c r="B98" s="1" t="s">
        <v>425</v>
      </c>
      <c r="C98" s="1" t="s">
        <v>729</v>
      </c>
      <c r="D98" s="7">
        <v>4</v>
      </c>
      <c r="E98" s="7">
        <v>5</v>
      </c>
      <c r="F98" s="7">
        <v>9</v>
      </c>
      <c r="G98" s="1" t="s">
        <v>652</v>
      </c>
    </row>
    <row x14ac:dyDescent="0.25" r="99" customHeight="1" ht="18.75">
      <c r="A99" s="7">
        <v>1</v>
      </c>
      <c r="B99" s="1" t="s">
        <v>483</v>
      </c>
      <c r="C99" s="1" t="s">
        <v>730</v>
      </c>
      <c r="D99" s="7">
        <v>3</v>
      </c>
      <c r="E99" s="7">
        <v>2</v>
      </c>
      <c r="F99" s="7">
        <v>5</v>
      </c>
      <c r="G99" s="1" t="s">
        <v>652</v>
      </c>
    </row>
    <row x14ac:dyDescent="0.25" r="100" customHeight="1" ht="18.75">
      <c r="A100" s="7">
        <v>1</v>
      </c>
      <c r="B100" s="1" t="s">
        <v>483</v>
      </c>
      <c r="C100" s="1" t="s">
        <v>731</v>
      </c>
      <c r="D100" s="7">
        <v>4</v>
      </c>
      <c r="E100" s="7">
        <v>0</v>
      </c>
      <c r="F100" s="7">
        <v>4</v>
      </c>
      <c r="G100" s="1" t="s">
        <v>652</v>
      </c>
    </row>
    <row x14ac:dyDescent="0.25" r="101" customHeight="1" ht="18.75">
      <c r="A101" s="7">
        <v>1</v>
      </c>
      <c r="B101" s="1" t="s">
        <v>483</v>
      </c>
      <c r="C101" s="1" t="s">
        <v>732</v>
      </c>
      <c r="D101" s="7">
        <v>11</v>
      </c>
      <c r="E101" s="7">
        <v>0</v>
      </c>
      <c r="F101" s="7">
        <v>11</v>
      </c>
      <c r="G101" s="1" t="s">
        <v>652</v>
      </c>
    </row>
    <row x14ac:dyDescent="0.25" r="102" customHeight="1" ht="18.75">
      <c r="A102" s="7">
        <v>1</v>
      </c>
      <c r="B102" s="1" t="s">
        <v>483</v>
      </c>
      <c r="C102" s="1" t="s">
        <v>733</v>
      </c>
      <c r="D102" s="7">
        <v>14</v>
      </c>
      <c r="E102" s="7">
        <v>0</v>
      </c>
      <c r="F102" s="7">
        <v>14</v>
      </c>
      <c r="G102" s="1" t="s">
        <v>652</v>
      </c>
    </row>
    <row x14ac:dyDescent="0.25" r="103" customHeight="1" ht="18.75">
      <c r="A103" s="7">
        <v>1</v>
      </c>
      <c r="B103" s="1" t="s">
        <v>483</v>
      </c>
      <c r="C103" s="1" t="s">
        <v>734</v>
      </c>
      <c r="D103" s="7">
        <v>2</v>
      </c>
      <c r="E103" s="7">
        <v>0</v>
      </c>
      <c r="F103" s="7">
        <v>2</v>
      </c>
      <c r="G103" s="1" t="s">
        <v>652</v>
      </c>
    </row>
    <row x14ac:dyDescent="0.25" r="104" customHeight="1" ht="18.75">
      <c r="A104" s="7">
        <v>1</v>
      </c>
      <c r="B104" s="1" t="s">
        <v>483</v>
      </c>
      <c r="C104" s="1" t="s">
        <v>735</v>
      </c>
      <c r="D104" s="7">
        <v>1</v>
      </c>
      <c r="E104" s="7">
        <v>0</v>
      </c>
      <c r="F104" s="7">
        <v>1</v>
      </c>
      <c r="G104" s="1" t="s">
        <v>652</v>
      </c>
    </row>
    <row x14ac:dyDescent="0.25" r="105" customHeight="1" ht="18.75">
      <c r="A105" s="7">
        <v>1</v>
      </c>
      <c r="B105" s="1" t="s">
        <v>483</v>
      </c>
      <c r="C105" s="1" t="s">
        <v>736</v>
      </c>
      <c r="D105" s="7">
        <v>4</v>
      </c>
      <c r="E105" s="7">
        <v>1</v>
      </c>
      <c r="F105" s="7">
        <v>5</v>
      </c>
      <c r="G105" s="1" t="s">
        <v>652</v>
      </c>
    </row>
    <row x14ac:dyDescent="0.25" r="106" customHeight="1" ht="18.75">
      <c r="A106" s="7">
        <v>1</v>
      </c>
      <c r="B106" s="1" t="s">
        <v>456</v>
      </c>
      <c r="C106" s="1" t="s">
        <v>702</v>
      </c>
      <c r="D106" s="7">
        <v>13</v>
      </c>
      <c r="E106" s="7">
        <v>6</v>
      </c>
      <c r="F106" s="7">
        <v>19</v>
      </c>
      <c r="G106" s="1" t="s">
        <v>652</v>
      </c>
    </row>
    <row x14ac:dyDescent="0.25" r="107" customHeight="1" ht="18.75">
      <c r="A107" s="7">
        <v>1</v>
      </c>
      <c r="B107" s="1" t="s">
        <v>456</v>
      </c>
      <c r="C107" s="1" t="s">
        <v>704</v>
      </c>
      <c r="D107" s="7">
        <v>1</v>
      </c>
      <c r="E107" s="7">
        <v>10</v>
      </c>
      <c r="F107" s="7">
        <v>11</v>
      </c>
      <c r="G107" s="1" t="s">
        <v>652</v>
      </c>
    </row>
    <row x14ac:dyDescent="0.25" r="108" customHeight="1" ht="18.75">
      <c r="A108" s="7">
        <v>1</v>
      </c>
      <c r="B108" s="1" t="s">
        <v>456</v>
      </c>
      <c r="C108" s="1" t="s">
        <v>737</v>
      </c>
      <c r="D108" s="7">
        <v>0</v>
      </c>
      <c r="E108" s="7">
        <v>2</v>
      </c>
      <c r="F108" s="7">
        <v>2</v>
      </c>
      <c r="G108" s="1" t="s">
        <v>652</v>
      </c>
    </row>
    <row x14ac:dyDescent="0.25" r="109" customHeight="1" ht="18.75">
      <c r="A109" s="7">
        <v>1</v>
      </c>
      <c r="B109" s="1" t="s">
        <v>456</v>
      </c>
      <c r="C109" s="1" t="s">
        <v>738</v>
      </c>
      <c r="D109" s="7">
        <v>4</v>
      </c>
      <c r="E109" s="7">
        <v>1</v>
      </c>
      <c r="F109" s="7">
        <v>5</v>
      </c>
      <c r="G109" s="1" t="s">
        <v>652</v>
      </c>
    </row>
    <row x14ac:dyDescent="0.25" r="110" customHeight="1" ht="18.75">
      <c r="A110" s="7">
        <v>1</v>
      </c>
      <c r="B110" s="1" t="s">
        <v>351</v>
      </c>
      <c r="C110" s="1" t="s">
        <v>739</v>
      </c>
      <c r="D110" s="7">
        <v>4</v>
      </c>
      <c r="E110" s="7">
        <v>4</v>
      </c>
      <c r="F110" s="7">
        <v>8</v>
      </c>
      <c r="G110" s="1" t="s">
        <v>652</v>
      </c>
    </row>
    <row x14ac:dyDescent="0.25" r="111" customHeight="1" ht="18.75">
      <c r="A111" s="7">
        <v>1</v>
      </c>
      <c r="B111" s="1" t="s">
        <v>401</v>
      </c>
      <c r="C111" s="1" t="s">
        <v>740</v>
      </c>
      <c r="D111" s="7">
        <v>7</v>
      </c>
      <c r="E111" s="7">
        <v>1</v>
      </c>
      <c r="F111" s="7">
        <v>8</v>
      </c>
      <c r="G111" s="1" t="s">
        <v>652</v>
      </c>
    </row>
    <row x14ac:dyDescent="0.25" r="112" customHeight="1" ht="18.75">
      <c r="A112" s="7">
        <v>1</v>
      </c>
      <c r="B112" s="1" t="s">
        <v>486</v>
      </c>
      <c r="C112" s="1" t="s">
        <v>741</v>
      </c>
      <c r="D112" s="7">
        <v>0</v>
      </c>
      <c r="E112" s="7">
        <v>6</v>
      </c>
      <c r="F112" s="7">
        <v>6</v>
      </c>
      <c r="G112" s="1" t="s">
        <v>652</v>
      </c>
    </row>
    <row x14ac:dyDescent="0.25" r="113" customHeight="1" ht="18.75">
      <c r="A113" s="7">
        <v>1</v>
      </c>
      <c r="B113" s="1" t="s">
        <v>486</v>
      </c>
      <c r="C113" s="1" t="s">
        <v>742</v>
      </c>
      <c r="D113" s="7">
        <v>2</v>
      </c>
      <c r="E113" s="7">
        <v>15</v>
      </c>
      <c r="F113" s="7">
        <v>17</v>
      </c>
      <c r="G113" s="1" t="s">
        <v>652</v>
      </c>
    </row>
    <row x14ac:dyDescent="0.25" r="114" customHeight="1" ht="18.75">
      <c r="A114" s="7">
        <v>1</v>
      </c>
      <c r="B114" s="1" t="s">
        <v>486</v>
      </c>
      <c r="C114" s="1" t="s">
        <v>743</v>
      </c>
      <c r="D114" s="7">
        <v>0</v>
      </c>
      <c r="E114" s="7">
        <v>16</v>
      </c>
      <c r="F114" s="7">
        <v>16</v>
      </c>
      <c r="G114" s="1" t="s">
        <v>652</v>
      </c>
    </row>
    <row x14ac:dyDescent="0.25" r="115" customHeight="1" ht="18.75">
      <c r="A115" s="7">
        <v>1</v>
      </c>
      <c r="B115" s="1" t="s">
        <v>486</v>
      </c>
      <c r="C115" s="1" t="s">
        <v>744</v>
      </c>
      <c r="D115" s="7">
        <v>0</v>
      </c>
      <c r="E115" s="7">
        <v>3</v>
      </c>
      <c r="F115" s="7">
        <v>3</v>
      </c>
      <c r="G115" s="1" t="s">
        <v>652</v>
      </c>
    </row>
    <row x14ac:dyDescent="0.25" r="116" customHeight="1" ht="18.75">
      <c r="A116" s="7">
        <v>1</v>
      </c>
      <c r="B116" s="1" t="s">
        <v>486</v>
      </c>
      <c r="C116" s="1" t="s">
        <v>745</v>
      </c>
      <c r="D116" s="7">
        <v>0</v>
      </c>
      <c r="E116" s="7">
        <v>1</v>
      </c>
      <c r="F116" s="7">
        <v>1</v>
      </c>
      <c r="G116" s="1" t="s">
        <v>652</v>
      </c>
    </row>
    <row x14ac:dyDescent="0.25" r="117" customHeight="1" ht="18.75">
      <c r="A117" s="7">
        <v>1</v>
      </c>
      <c r="B117" s="1" t="s">
        <v>486</v>
      </c>
      <c r="C117" s="1" t="s">
        <v>746</v>
      </c>
      <c r="D117" s="7">
        <v>0</v>
      </c>
      <c r="E117" s="7">
        <v>4</v>
      </c>
      <c r="F117" s="7">
        <v>4</v>
      </c>
      <c r="G117" s="1" t="s">
        <v>652</v>
      </c>
    </row>
    <row x14ac:dyDescent="0.25" r="118" customHeight="1" ht="18.75">
      <c r="A118" s="7">
        <v>1</v>
      </c>
      <c r="B118" s="1" t="s">
        <v>486</v>
      </c>
      <c r="C118" s="1" t="s">
        <v>747</v>
      </c>
      <c r="D118" s="7">
        <v>1</v>
      </c>
      <c r="E118" s="7">
        <v>2</v>
      </c>
      <c r="F118" s="7">
        <v>3</v>
      </c>
      <c r="G118" s="1" t="s">
        <v>652</v>
      </c>
    </row>
    <row x14ac:dyDescent="0.25" r="119" customHeight="1" ht="18.75">
      <c r="A119" s="7">
        <v>1</v>
      </c>
      <c r="B119" s="1" t="s">
        <v>486</v>
      </c>
      <c r="C119" s="1" t="s">
        <v>748</v>
      </c>
      <c r="D119" s="7">
        <v>0</v>
      </c>
      <c r="E119" s="7">
        <v>29</v>
      </c>
      <c r="F119" s="7">
        <v>29</v>
      </c>
      <c r="G119" s="1" t="s">
        <v>652</v>
      </c>
    </row>
    <row x14ac:dyDescent="0.25" r="120" customHeight="1" ht="18.75">
      <c r="A120" s="7">
        <v>1</v>
      </c>
      <c r="B120" s="1" t="s">
        <v>431</v>
      </c>
      <c r="C120" s="1" t="s">
        <v>681</v>
      </c>
      <c r="D120" s="7">
        <v>51</v>
      </c>
      <c r="E120" s="7">
        <v>17</v>
      </c>
      <c r="F120" s="7">
        <v>68</v>
      </c>
      <c r="G120" s="1" t="s">
        <v>652</v>
      </c>
    </row>
    <row x14ac:dyDescent="0.25" r="121" customHeight="1" ht="18.75">
      <c r="A121" s="7">
        <v>1</v>
      </c>
      <c r="B121" s="1" t="s">
        <v>431</v>
      </c>
      <c r="C121" s="1" t="s">
        <v>749</v>
      </c>
      <c r="D121" s="7">
        <v>9</v>
      </c>
      <c r="E121" s="7">
        <v>0</v>
      </c>
      <c r="F121" s="7">
        <v>9</v>
      </c>
      <c r="G121" s="1" t="s">
        <v>652</v>
      </c>
    </row>
    <row x14ac:dyDescent="0.25" r="122" customHeight="1" ht="18.75">
      <c r="A122" s="7">
        <v>1</v>
      </c>
      <c r="B122" s="1" t="s">
        <v>410</v>
      </c>
      <c r="C122" s="1" t="s">
        <v>655</v>
      </c>
      <c r="D122" s="7">
        <v>56</v>
      </c>
      <c r="E122" s="7">
        <v>23</v>
      </c>
      <c r="F122" s="7">
        <v>79</v>
      </c>
      <c r="G122" s="1" t="s">
        <v>652</v>
      </c>
    </row>
    <row x14ac:dyDescent="0.25" r="123" customHeight="1" ht="18.75">
      <c r="A123" s="7">
        <v>1</v>
      </c>
      <c r="B123" s="1" t="s">
        <v>410</v>
      </c>
      <c r="C123" s="1" t="s">
        <v>656</v>
      </c>
      <c r="D123" s="7">
        <v>26</v>
      </c>
      <c r="E123" s="7">
        <v>2</v>
      </c>
      <c r="F123" s="7">
        <v>28</v>
      </c>
      <c r="G123" s="1" t="s">
        <v>652</v>
      </c>
    </row>
    <row x14ac:dyDescent="0.25" r="124" customHeight="1" ht="18.75">
      <c r="A124" s="7">
        <v>1</v>
      </c>
      <c r="B124" s="1" t="s">
        <v>353</v>
      </c>
      <c r="C124" s="1" t="s">
        <v>702</v>
      </c>
      <c r="D124" s="7">
        <v>2</v>
      </c>
      <c r="E124" s="7">
        <v>2</v>
      </c>
      <c r="F124" s="7">
        <v>4</v>
      </c>
      <c r="G124" s="1" t="s">
        <v>652</v>
      </c>
    </row>
    <row x14ac:dyDescent="0.25" r="125" customHeight="1" ht="18.75">
      <c r="A125" s="7">
        <v>1</v>
      </c>
      <c r="B125" s="1" t="s">
        <v>381</v>
      </c>
      <c r="C125" s="1" t="s">
        <v>750</v>
      </c>
      <c r="D125" s="7">
        <v>6</v>
      </c>
      <c r="E125" s="7">
        <v>1</v>
      </c>
      <c r="F125" s="7">
        <v>7</v>
      </c>
      <c r="G125" s="1" t="s">
        <v>652</v>
      </c>
    </row>
    <row x14ac:dyDescent="0.25" r="126" customHeight="1" ht="18.75">
      <c r="A126" s="7">
        <v>1</v>
      </c>
      <c r="B126" s="1" t="s">
        <v>420</v>
      </c>
      <c r="C126" s="1" t="s">
        <v>751</v>
      </c>
      <c r="D126" s="7">
        <v>7</v>
      </c>
      <c r="E126" s="7">
        <v>3</v>
      </c>
      <c r="F126" s="7">
        <v>10</v>
      </c>
      <c r="G126" s="1" t="s">
        <v>652</v>
      </c>
    </row>
    <row x14ac:dyDescent="0.25" r="127" customHeight="1" ht="18.75">
      <c r="A127" s="7">
        <v>1</v>
      </c>
      <c r="B127" s="1" t="s">
        <v>420</v>
      </c>
      <c r="C127" s="1" t="s">
        <v>752</v>
      </c>
      <c r="D127" s="7">
        <v>12</v>
      </c>
      <c r="E127" s="7">
        <v>1</v>
      </c>
      <c r="F127" s="7">
        <v>13</v>
      </c>
      <c r="G127" s="1" t="s">
        <v>652</v>
      </c>
    </row>
    <row x14ac:dyDescent="0.25" r="128" customHeight="1" ht="18.75">
      <c r="A128" s="7">
        <v>1</v>
      </c>
      <c r="B128" s="1" t="s">
        <v>355</v>
      </c>
      <c r="C128" s="1" t="s">
        <v>753</v>
      </c>
      <c r="D128" s="7">
        <v>6</v>
      </c>
      <c r="E128" s="7">
        <v>1</v>
      </c>
      <c r="F128" s="7">
        <v>7</v>
      </c>
      <c r="G128" s="1" t="s">
        <v>652</v>
      </c>
    </row>
    <row x14ac:dyDescent="0.25" r="129" customHeight="1" ht="18.75">
      <c r="A129" s="7">
        <v>1</v>
      </c>
      <c r="B129" s="1" t="s">
        <v>395</v>
      </c>
      <c r="C129" s="1" t="s">
        <v>754</v>
      </c>
      <c r="D129" s="7">
        <v>7</v>
      </c>
      <c r="E129" s="7">
        <v>3</v>
      </c>
      <c r="F129" s="7">
        <v>10</v>
      </c>
      <c r="G129" s="1" t="s">
        <v>652</v>
      </c>
    </row>
    <row x14ac:dyDescent="0.25" r="130" customHeight="1" ht="18.75">
      <c r="A130" s="7">
        <v>1</v>
      </c>
      <c r="B130" s="1" t="s">
        <v>357</v>
      </c>
      <c r="C130" s="1" t="s">
        <v>755</v>
      </c>
      <c r="D130" s="7">
        <v>8</v>
      </c>
      <c r="E130" s="7">
        <v>4</v>
      </c>
      <c r="F130" s="7">
        <v>12</v>
      </c>
      <c r="G130" s="1" t="s">
        <v>652</v>
      </c>
    </row>
    <row x14ac:dyDescent="0.25" r="131" customHeight="1" ht="18.75">
      <c r="A131" s="7">
        <v>1</v>
      </c>
      <c r="B131" s="1" t="s">
        <v>445</v>
      </c>
      <c r="C131" s="1" t="s">
        <v>756</v>
      </c>
      <c r="D131" s="7">
        <v>9</v>
      </c>
      <c r="E131" s="7">
        <v>0</v>
      </c>
      <c r="F131" s="7">
        <v>9</v>
      </c>
      <c r="G131" s="1" t="s">
        <v>652</v>
      </c>
    </row>
    <row x14ac:dyDescent="0.25" r="132" customHeight="1" ht="18.75">
      <c r="A132" s="7">
        <v>1</v>
      </c>
      <c r="B132" s="1" t="s">
        <v>445</v>
      </c>
      <c r="C132" s="1" t="s">
        <v>757</v>
      </c>
      <c r="D132" s="7">
        <v>36</v>
      </c>
      <c r="E132" s="7">
        <v>0</v>
      </c>
      <c r="F132" s="7">
        <v>36</v>
      </c>
      <c r="G132" s="1" t="s">
        <v>652</v>
      </c>
    </row>
    <row x14ac:dyDescent="0.25" r="133" customHeight="1" ht="18.75">
      <c r="A133" s="7">
        <v>1</v>
      </c>
      <c r="B133" s="1" t="s">
        <v>445</v>
      </c>
      <c r="C133" s="1" t="s">
        <v>758</v>
      </c>
      <c r="D133" s="7">
        <v>2</v>
      </c>
      <c r="E133" s="7">
        <v>0</v>
      </c>
      <c r="F133" s="7">
        <v>2</v>
      </c>
      <c r="G133" s="1" t="s">
        <v>652</v>
      </c>
    </row>
    <row x14ac:dyDescent="0.25" r="134" customHeight="1" ht="18.75">
      <c r="A134" s="7">
        <v>1</v>
      </c>
      <c r="B134" s="1" t="s">
        <v>429</v>
      </c>
      <c r="C134" s="1" t="s">
        <v>759</v>
      </c>
      <c r="D134" s="7">
        <v>0</v>
      </c>
      <c r="E134" s="7">
        <v>20</v>
      </c>
      <c r="F134" s="7">
        <v>20</v>
      </c>
      <c r="G134" s="1" t="s">
        <v>652</v>
      </c>
    </row>
    <row x14ac:dyDescent="0.25" r="135" customHeight="1" ht="18.75">
      <c r="A135" s="7">
        <v>1</v>
      </c>
      <c r="B135" s="1" t="s">
        <v>429</v>
      </c>
      <c r="C135" s="1" t="s">
        <v>760</v>
      </c>
      <c r="D135" s="7">
        <v>6</v>
      </c>
      <c r="E135" s="7">
        <v>0</v>
      </c>
      <c r="F135" s="7">
        <v>6</v>
      </c>
      <c r="G135" s="1" t="s">
        <v>652</v>
      </c>
    </row>
    <row x14ac:dyDescent="0.25" r="136" customHeight="1" ht="18.75">
      <c r="A136" s="7">
        <v>1</v>
      </c>
      <c r="B136" s="1" t="s">
        <v>383</v>
      </c>
      <c r="C136" s="1" t="s">
        <v>713</v>
      </c>
      <c r="D136" s="7">
        <v>7</v>
      </c>
      <c r="E136" s="7">
        <v>1</v>
      </c>
      <c r="F136" s="7">
        <v>8</v>
      </c>
      <c r="G136" s="1" t="s">
        <v>652</v>
      </c>
    </row>
    <row x14ac:dyDescent="0.25" r="137" customHeight="1" ht="18.75">
      <c r="A137" s="7">
        <v>1</v>
      </c>
      <c r="B137" s="1" t="s">
        <v>359</v>
      </c>
      <c r="C137" s="1" t="s">
        <v>761</v>
      </c>
      <c r="D137" s="7">
        <v>6</v>
      </c>
      <c r="E137" s="7">
        <v>5</v>
      </c>
      <c r="F137" s="7">
        <v>11</v>
      </c>
      <c r="G137" s="1" t="s">
        <v>652</v>
      </c>
    </row>
    <row x14ac:dyDescent="0.25" r="138" customHeight="1" ht="18.75">
      <c r="A138" s="7">
        <v>1</v>
      </c>
      <c r="B138" s="1" t="s">
        <v>405</v>
      </c>
      <c r="C138" s="1" t="s">
        <v>757</v>
      </c>
      <c r="D138" s="7">
        <v>4</v>
      </c>
      <c r="E138" s="7">
        <v>0</v>
      </c>
      <c r="F138" s="7">
        <v>4</v>
      </c>
      <c r="G138" s="1" t="s">
        <v>652</v>
      </c>
    </row>
    <row x14ac:dyDescent="0.25" r="139" customHeight="1" ht="18.75">
      <c r="A139" s="7">
        <v>1</v>
      </c>
      <c r="B139" s="1" t="s">
        <v>361</v>
      </c>
      <c r="C139" s="1" t="s">
        <v>762</v>
      </c>
      <c r="D139" s="7">
        <v>17</v>
      </c>
      <c r="E139" s="7">
        <v>3</v>
      </c>
      <c r="F139" s="7">
        <v>20</v>
      </c>
      <c r="G139" s="1" t="s">
        <v>652</v>
      </c>
    </row>
    <row x14ac:dyDescent="0.25" r="140" customHeight="1" ht="18.75">
      <c r="A140" s="7">
        <v>1</v>
      </c>
      <c r="B140" s="1" t="s">
        <v>385</v>
      </c>
      <c r="C140" s="1" t="s">
        <v>763</v>
      </c>
      <c r="D140" s="7">
        <v>21</v>
      </c>
      <c r="E140" s="7">
        <v>2</v>
      </c>
      <c r="F140" s="7">
        <v>23</v>
      </c>
      <c r="G140" s="1" t="s">
        <v>652</v>
      </c>
    </row>
    <row x14ac:dyDescent="0.25" r="141" customHeight="1" ht="18.75">
      <c r="A141" s="7">
        <v>1</v>
      </c>
      <c r="B141" s="1" t="s">
        <v>442</v>
      </c>
      <c r="C141" s="1" t="s">
        <v>764</v>
      </c>
      <c r="D141" s="7">
        <v>32</v>
      </c>
      <c r="E141" s="7">
        <v>13</v>
      </c>
      <c r="F141" s="7">
        <v>45</v>
      </c>
      <c r="G141" s="1" t="s">
        <v>652</v>
      </c>
    </row>
    <row x14ac:dyDescent="0.25" r="142" customHeight="1" ht="18.75">
      <c r="A142" s="7">
        <v>1</v>
      </c>
      <c r="B142" s="1" t="s">
        <v>442</v>
      </c>
      <c r="C142" s="1" t="s">
        <v>765</v>
      </c>
      <c r="D142" s="7">
        <v>2</v>
      </c>
      <c r="E142" s="7">
        <v>1</v>
      </c>
      <c r="F142" s="7">
        <v>3</v>
      </c>
      <c r="G142" s="1" t="s">
        <v>652</v>
      </c>
    </row>
    <row x14ac:dyDescent="0.25" r="143" customHeight="1" ht="18.75">
      <c r="A143" s="7">
        <v>1</v>
      </c>
      <c r="B143" s="1" t="s">
        <v>442</v>
      </c>
      <c r="C143" s="1" t="s">
        <v>760</v>
      </c>
      <c r="D143" s="7">
        <v>1</v>
      </c>
      <c r="E143" s="7">
        <v>1</v>
      </c>
      <c r="F143" s="7">
        <v>2</v>
      </c>
      <c r="G143" s="1" t="s">
        <v>652</v>
      </c>
    </row>
    <row x14ac:dyDescent="0.25" r="144" customHeight="1" ht="18.75">
      <c r="A144" s="7">
        <v>1</v>
      </c>
      <c r="B144" s="1" t="s">
        <v>454</v>
      </c>
      <c r="C144" s="1" t="s">
        <v>741</v>
      </c>
      <c r="D144" s="7">
        <v>2</v>
      </c>
      <c r="E144" s="7">
        <v>28</v>
      </c>
      <c r="F144" s="7">
        <v>30</v>
      </c>
      <c r="G144" s="1" t="s">
        <v>652</v>
      </c>
    </row>
    <row x14ac:dyDescent="0.25" r="145" customHeight="1" ht="18.75">
      <c r="A145" s="7">
        <v>1</v>
      </c>
      <c r="B145" s="1" t="s">
        <v>454</v>
      </c>
      <c r="C145" s="1" t="s">
        <v>743</v>
      </c>
      <c r="D145" s="7">
        <v>3</v>
      </c>
      <c r="E145" s="7">
        <v>9</v>
      </c>
      <c r="F145" s="7">
        <v>12</v>
      </c>
      <c r="G145" s="1" t="s">
        <v>652</v>
      </c>
    </row>
    <row x14ac:dyDescent="0.25" r="146" customHeight="1" ht="18.75">
      <c r="A146" s="7">
        <v>1</v>
      </c>
      <c r="B146" s="1" t="s">
        <v>454</v>
      </c>
      <c r="C146" s="1" t="s">
        <v>747</v>
      </c>
      <c r="D146" s="7">
        <v>1</v>
      </c>
      <c r="E146" s="7">
        <v>1</v>
      </c>
      <c r="F146" s="7">
        <v>2</v>
      </c>
      <c r="G146" s="1" t="s">
        <v>652</v>
      </c>
    </row>
    <row x14ac:dyDescent="0.25" r="147" customHeight="1" ht="18.75">
      <c r="A147" s="7">
        <v>1</v>
      </c>
      <c r="B147" s="1" t="s">
        <v>454</v>
      </c>
      <c r="C147" s="1" t="s">
        <v>748</v>
      </c>
      <c r="D147" s="7">
        <v>15</v>
      </c>
      <c r="E147" s="7">
        <v>3</v>
      </c>
      <c r="F147" s="7">
        <v>18</v>
      </c>
      <c r="G147" s="1" t="s">
        <v>652</v>
      </c>
    </row>
    <row x14ac:dyDescent="0.25" r="148" customHeight="1" ht="18.75">
      <c r="A148" s="7">
        <v>1</v>
      </c>
      <c r="B148" s="1" t="s">
        <v>439</v>
      </c>
      <c r="C148" s="1" t="s">
        <v>766</v>
      </c>
      <c r="D148" s="7">
        <v>3</v>
      </c>
      <c r="E148" s="7">
        <v>8</v>
      </c>
      <c r="F148" s="7">
        <v>11</v>
      </c>
      <c r="G148" s="1" t="s">
        <v>652</v>
      </c>
    </row>
    <row x14ac:dyDescent="0.25" r="149" customHeight="1" ht="18.75">
      <c r="A149" s="7">
        <v>1</v>
      </c>
      <c r="B149" s="1" t="s">
        <v>439</v>
      </c>
      <c r="C149" s="1" t="s">
        <v>716</v>
      </c>
      <c r="D149" s="7">
        <v>2</v>
      </c>
      <c r="E149" s="7">
        <v>70</v>
      </c>
      <c r="F149" s="7">
        <v>72</v>
      </c>
      <c r="G149" s="1" t="s">
        <v>652</v>
      </c>
    </row>
    <row x14ac:dyDescent="0.25" r="150" customHeight="1" ht="18.75">
      <c r="A150" s="7">
        <v>1</v>
      </c>
      <c r="B150" s="1" t="s">
        <v>439</v>
      </c>
      <c r="C150" s="1" t="s">
        <v>767</v>
      </c>
      <c r="D150" s="7">
        <v>23</v>
      </c>
      <c r="E150" s="7">
        <v>1</v>
      </c>
      <c r="F150" s="7">
        <v>24</v>
      </c>
      <c r="G150" s="1" t="s">
        <v>652</v>
      </c>
    </row>
    <row x14ac:dyDescent="0.25" r="151" customHeight="1" ht="18.75">
      <c r="A151" s="7">
        <v>1</v>
      </c>
      <c r="B151" s="1" t="s">
        <v>363</v>
      </c>
      <c r="C151" s="1" t="s">
        <v>768</v>
      </c>
      <c r="D151" s="7">
        <v>7</v>
      </c>
      <c r="E151" s="7">
        <v>3</v>
      </c>
      <c r="F151" s="7">
        <v>10</v>
      </c>
      <c r="G151" s="1" t="s">
        <v>652</v>
      </c>
    </row>
    <row x14ac:dyDescent="0.25" r="152" customHeight="1" ht="18.75">
      <c r="A152" s="7">
        <v>1</v>
      </c>
      <c r="B152" s="1" t="s">
        <v>397</v>
      </c>
      <c r="C152" s="1" t="s">
        <v>769</v>
      </c>
      <c r="D152" s="7">
        <v>3</v>
      </c>
      <c r="E152" s="7">
        <v>1</v>
      </c>
      <c r="F152" s="7">
        <v>4</v>
      </c>
      <c r="G152" s="1" t="s">
        <v>652</v>
      </c>
    </row>
    <row x14ac:dyDescent="0.25" r="153" customHeight="1" ht="18.75">
      <c r="A153" s="7">
        <v>1</v>
      </c>
      <c r="B153" s="1" t="s">
        <v>427</v>
      </c>
      <c r="C153" s="1" t="s">
        <v>725</v>
      </c>
      <c r="D153" s="7">
        <v>2</v>
      </c>
      <c r="E153" s="7">
        <v>1</v>
      </c>
      <c r="F153" s="7">
        <v>3</v>
      </c>
      <c r="G153" s="1" t="s">
        <v>652</v>
      </c>
    </row>
    <row x14ac:dyDescent="0.25" r="154" customHeight="1" ht="18.75">
      <c r="A154" s="7">
        <v>1</v>
      </c>
      <c r="B154" s="1" t="s">
        <v>427</v>
      </c>
      <c r="C154" s="1" t="s">
        <v>726</v>
      </c>
      <c r="D154" s="7">
        <v>1</v>
      </c>
      <c r="E154" s="7">
        <v>1</v>
      </c>
      <c r="F154" s="7">
        <v>2</v>
      </c>
      <c r="G154" s="1" t="s">
        <v>652</v>
      </c>
    </row>
    <row x14ac:dyDescent="0.25" r="155" customHeight="1" ht="18.75">
      <c r="A155" s="7">
        <v>1</v>
      </c>
      <c r="B155" s="1" t="s">
        <v>365</v>
      </c>
      <c r="C155" s="1" t="s">
        <v>770</v>
      </c>
      <c r="D155" s="7">
        <v>6</v>
      </c>
      <c r="E155" s="7">
        <v>4</v>
      </c>
      <c r="F155" s="7">
        <v>10</v>
      </c>
      <c r="G155" s="1" t="s">
        <v>652</v>
      </c>
    </row>
    <row x14ac:dyDescent="0.25" r="156" customHeight="1" ht="18.75">
      <c r="A156" s="7">
        <v>1</v>
      </c>
      <c r="B156" s="1" t="s">
        <v>458</v>
      </c>
      <c r="C156" s="1" t="s">
        <v>702</v>
      </c>
      <c r="D156" s="7">
        <v>3</v>
      </c>
      <c r="E156" s="7">
        <v>1</v>
      </c>
      <c r="F156" s="7">
        <v>4</v>
      </c>
      <c r="G156" s="1" t="s">
        <v>652</v>
      </c>
    </row>
    <row x14ac:dyDescent="0.25" r="157" customHeight="1" ht="18.75">
      <c r="A157" s="7">
        <v>1</v>
      </c>
      <c r="B157" s="1" t="s">
        <v>458</v>
      </c>
      <c r="C157" s="1" t="s">
        <v>771</v>
      </c>
      <c r="D157" s="7">
        <v>0</v>
      </c>
      <c r="E157" s="7">
        <v>4</v>
      </c>
      <c r="F157" s="7">
        <v>4</v>
      </c>
      <c r="G157" s="1" t="s">
        <v>652</v>
      </c>
    </row>
    <row x14ac:dyDescent="0.25" r="158" customHeight="1" ht="18.75">
      <c r="A158" s="7">
        <v>1</v>
      </c>
      <c r="B158" s="1" t="s">
        <v>458</v>
      </c>
      <c r="C158" s="1" t="s">
        <v>705</v>
      </c>
      <c r="D158" s="7">
        <v>28</v>
      </c>
      <c r="E158" s="7">
        <v>21</v>
      </c>
      <c r="F158" s="7">
        <v>49</v>
      </c>
      <c r="G158" s="1" t="s">
        <v>652</v>
      </c>
    </row>
    <row x14ac:dyDescent="0.25" r="159" customHeight="1" ht="18.75">
      <c r="A159" s="7">
        <v>1</v>
      </c>
      <c r="B159" s="1" t="s">
        <v>458</v>
      </c>
      <c r="C159" s="1" t="s">
        <v>706</v>
      </c>
      <c r="D159" s="7">
        <v>1</v>
      </c>
      <c r="E159" s="7">
        <v>1</v>
      </c>
      <c r="F159" s="7">
        <v>2</v>
      </c>
      <c r="G159" s="1" t="s">
        <v>652</v>
      </c>
    </row>
    <row x14ac:dyDescent="0.25" r="160" customHeight="1" ht="18.75">
      <c r="A160" s="7">
        <v>1</v>
      </c>
      <c r="B160" s="1" t="s">
        <v>488</v>
      </c>
      <c r="C160" s="1" t="s">
        <v>772</v>
      </c>
      <c r="D160" s="7">
        <v>0</v>
      </c>
      <c r="E160" s="7">
        <v>9</v>
      </c>
      <c r="F160" s="7">
        <v>9</v>
      </c>
      <c r="G160" s="1" t="s">
        <v>652</v>
      </c>
    </row>
    <row x14ac:dyDescent="0.25" r="161" customHeight="1" ht="18.75">
      <c r="A161" s="7">
        <v>1</v>
      </c>
      <c r="B161" s="1" t="s">
        <v>488</v>
      </c>
      <c r="C161" s="1" t="s">
        <v>773</v>
      </c>
      <c r="D161" s="7">
        <v>19</v>
      </c>
      <c r="E161" s="7">
        <v>5</v>
      </c>
      <c r="F161" s="7">
        <v>24</v>
      </c>
      <c r="G161" s="1" t="s">
        <v>652</v>
      </c>
    </row>
    <row x14ac:dyDescent="0.25" r="162" customHeight="1" ht="18.75">
      <c r="A162" s="7">
        <v>1</v>
      </c>
      <c r="B162" s="1" t="s">
        <v>488</v>
      </c>
      <c r="C162" s="1" t="s">
        <v>774</v>
      </c>
      <c r="D162" s="7">
        <v>32</v>
      </c>
      <c r="E162" s="7">
        <v>76</v>
      </c>
      <c r="F162" s="7">
        <v>108</v>
      </c>
      <c r="G162" s="1" t="s">
        <v>652</v>
      </c>
    </row>
    <row x14ac:dyDescent="0.25" r="163" customHeight="1" ht="18.75">
      <c r="A163" s="7">
        <v>1</v>
      </c>
      <c r="B163" s="1" t="s">
        <v>488</v>
      </c>
      <c r="C163" s="1" t="s">
        <v>775</v>
      </c>
      <c r="D163" s="7">
        <v>5</v>
      </c>
      <c r="E163" s="7">
        <v>3</v>
      </c>
      <c r="F163" s="7">
        <v>8</v>
      </c>
      <c r="G163" s="1" t="s">
        <v>652</v>
      </c>
    </row>
    <row x14ac:dyDescent="0.25" r="164" customHeight="1" ht="18.75">
      <c r="A164" s="7">
        <v>1</v>
      </c>
      <c r="B164" s="1" t="s">
        <v>488</v>
      </c>
      <c r="C164" s="1" t="s">
        <v>776</v>
      </c>
      <c r="D164" s="7">
        <v>25</v>
      </c>
      <c r="E164" s="7">
        <v>8</v>
      </c>
      <c r="F164" s="7">
        <v>33</v>
      </c>
      <c r="G164" s="1" t="s">
        <v>652</v>
      </c>
    </row>
    <row x14ac:dyDescent="0.25" r="165" customHeight="1" ht="18.75">
      <c r="A165" s="7">
        <v>1</v>
      </c>
      <c r="B165" s="1" t="s">
        <v>488</v>
      </c>
      <c r="C165" s="1" t="s">
        <v>777</v>
      </c>
      <c r="D165" s="7">
        <v>14</v>
      </c>
      <c r="E165" s="7">
        <v>0</v>
      </c>
      <c r="F165" s="7">
        <v>14</v>
      </c>
      <c r="G165" s="1" t="s">
        <v>652</v>
      </c>
    </row>
    <row x14ac:dyDescent="0.25" r="166" customHeight="1" ht="18.75">
      <c r="A166" s="7">
        <v>1</v>
      </c>
      <c r="B166" s="1" t="s">
        <v>488</v>
      </c>
      <c r="C166" s="1" t="s">
        <v>778</v>
      </c>
      <c r="D166" s="7">
        <v>5</v>
      </c>
      <c r="E166" s="7">
        <v>5</v>
      </c>
      <c r="F166" s="7">
        <v>10</v>
      </c>
      <c r="G166" s="1" t="s">
        <v>652</v>
      </c>
    </row>
    <row x14ac:dyDescent="0.25" r="167" customHeight="1" ht="18.75">
      <c r="A167" s="7">
        <v>1</v>
      </c>
      <c r="B167" s="1" t="s">
        <v>488</v>
      </c>
      <c r="C167" s="1" t="s">
        <v>779</v>
      </c>
      <c r="D167" s="7">
        <v>1</v>
      </c>
      <c r="E167" s="7">
        <v>1</v>
      </c>
      <c r="F167" s="7">
        <v>2</v>
      </c>
      <c r="G167" s="1" t="s">
        <v>652</v>
      </c>
    </row>
    <row x14ac:dyDescent="0.25" r="168" customHeight="1" ht="18.75">
      <c r="A168" s="7">
        <v>1</v>
      </c>
      <c r="B168" s="1" t="s">
        <v>488</v>
      </c>
      <c r="C168" s="1" t="s">
        <v>780</v>
      </c>
      <c r="D168" s="7">
        <v>3</v>
      </c>
      <c r="E168" s="7">
        <v>3</v>
      </c>
      <c r="F168" s="7">
        <v>6</v>
      </c>
      <c r="G168" s="1" t="s">
        <v>652</v>
      </c>
    </row>
    <row x14ac:dyDescent="0.25" r="169" customHeight="1" ht="18.75">
      <c r="A169" s="7">
        <v>1</v>
      </c>
      <c r="B169" s="1" t="s">
        <v>488</v>
      </c>
      <c r="C169" s="1" t="s">
        <v>781</v>
      </c>
      <c r="D169" s="7">
        <v>1</v>
      </c>
      <c r="E169" s="7">
        <v>1</v>
      </c>
      <c r="F169" s="7">
        <v>2</v>
      </c>
      <c r="G169" s="1" t="s">
        <v>652</v>
      </c>
    </row>
    <row x14ac:dyDescent="0.25" r="170" customHeight="1" ht="18.75">
      <c r="A170" s="7">
        <v>1</v>
      </c>
      <c r="B170" s="1" t="s">
        <v>488</v>
      </c>
      <c r="C170" s="1" t="s">
        <v>782</v>
      </c>
      <c r="D170" s="7">
        <v>4</v>
      </c>
      <c r="E170" s="7">
        <v>4</v>
      </c>
      <c r="F170" s="7">
        <v>8</v>
      </c>
      <c r="G170" s="1" t="s">
        <v>652</v>
      </c>
    </row>
    <row x14ac:dyDescent="0.25" r="171" customHeight="1" ht="18.75">
      <c r="A171" s="7">
        <v>1</v>
      </c>
      <c r="B171" s="1" t="s">
        <v>488</v>
      </c>
      <c r="C171" s="1" t="s">
        <v>783</v>
      </c>
      <c r="D171" s="7">
        <v>1</v>
      </c>
      <c r="E171" s="7">
        <v>1</v>
      </c>
      <c r="F171" s="7">
        <v>2</v>
      </c>
      <c r="G171" s="1" t="s">
        <v>652</v>
      </c>
    </row>
    <row x14ac:dyDescent="0.25" r="172" customHeight="1" ht="18.75">
      <c r="A172" s="7">
        <v>1</v>
      </c>
      <c r="B172" s="1" t="s">
        <v>455</v>
      </c>
      <c r="C172" s="1" t="s">
        <v>784</v>
      </c>
      <c r="D172" s="7">
        <v>33</v>
      </c>
      <c r="E172" s="7">
        <v>17</v>
      </c>
      <c r="F172" s="7">
        <v>50</v>
      </c>
      <c r="G172" s="1" t="s">
        <v>652</v>
      </c>
    </row>
    <row x14ac:dyDescent="0.25" r="173" customHeight="1" ht="18.75">
      <c r="A173" s="7">
        <v>1</v>
      </c>
      <c r="B173" s="1" t="s">
        <v>455</v>
      </c>
      <c r="C173" s="1" t="s">
        <v>785</v>
      </c>
      <c r="D173" s="7">
        <v>26</v>
      </c>
      <c r="E173" s="7">
        <v>1</v>
      </c>
      <c r="F173" s="7">
        <v>27</v>
      </c>
      <c r="G173" s="1" t="s">
        <v>652</v>
      </c>
    </row>
    <row x14ac:dyDescent="0.25" r="174" customHeight="1" ht="18.75">
      <c r="A174" s="7">
        <v>1</v>
      </c>
      <c r="B174" s="1" t="s">
        <v>455</v>
      </c>
      <c r="C174" s="1" t="s">
        <v>786</v>
      </c>
      <c r="D174" s="7">
        <v>0</v>
      </c>
      <c r="E174" s="7">
        <v>6</v>
      </c>
      <c r="F174" s="7">
        <v>6</v>
      </c>
      <c r="G174" s="1" t="s">
        <v>652</v>
      </c>
    </row>
    <row x14ac:dyDescent="0.25" r="175" customHeight="1" ht="18.75">
      <c r="A175" s="7">
        <v>1</v>
      </c>
      <c r="B175" s="1" t="s">
        <v>455</v>
      </c>
      <c r="C175" s="1" t="s">
        <v>787</v>
      </c>
      <c r="D175" s="7">
        <v>8</v>
      </c>
      <c r="E175" s="7">
        <v>1</v>
      </c>
      <c r="F175" s="7">
        <v>9</v>
      </c>
      <c r="G175" s="1" t="s">
        <v>652</v>
      </c>
    </row>
    <row x14ac:dyDescent="0.25" r="176" customHeight="1" ht="18.75">
      <c r="A176" s="7">
        <v>1</v>
      </c>
      <c r="B176" s="1" t="s">
        <v>387</v>
      </c>
      <c r="C176" s="1" t="s">
        <v>788</v>
      </c>
      <c r="D176" s="7">
        <v>9</v>
      </c>
      <c r="E176" s="7">
        <v>2</v>
      </c>
      <c r="F176" s="7">
        <v>11</v>
      </c>
      <c r="G176" s="1" t="s">
        <v>652</v>
      </c>
    </row>
    <row x14ac:dyDescent="0.25" r="177" customHeight="1" ht="18.75">
      <c r="A177" s="7">
        <v>1</v>
      </c>
      <c r="B177" s="1" t="s">
        <v>367</v>
      </c>
      <c r="C177" s="1" t="s">
        <v>762</v>
      </c>
      <c r="D177" s="7">
        <v>5</v>
      </c>
      <c r="E177" s="7">
        <v>3</v>
      </c>
      <c r="F177" s="7">
        <v>8</v>
      </c>
      <c r="G177" s="1" t="s">
        <v>652</v>
      </c>
    </row>
    <row x14ac:dyDescent="0.25" r="178" customHeight="1" ht="18.75">
      <c r="A178" s="7">
        <v>1</v>
      </c>
      <c r="B178" s="1" t="s">
        <v>464</v>
      </c>
      <c r="C178" s="1" t="s">
        <v>789</v>
      </c>
      <c r="D178" s="7">
        <v>2</v>
      </c>
      <c r="E178" s="7">
        <v>0</v>
      </c>
      <c r="F178" s="7">
        <v>2</v>
      </c>
      <c r="G178" s="1" t="s">
        <v>652</v>
      </c>
    </row>
    <row x14ac:dyDescent="0.25" r="179" customHeight="1" ht="18.75">
      <c r="A179" s="7">
        <v>1</v>
      </c>
      <c r="B179" s="1" t="s">
        <v>464</v>
      </c>
      <c r="C179" s="1" t="s">
        <v>790</v>
      </c>
      <c r="D179" s="7">
        <v>1</v>
      </c>
      <c r="E179" s="7">
        <v>0</v>
      </c>
      <c r="F179" s="7">
        <v>1</v>
      </c>
      <c r="G179" s="1" t="s">
        <v>652</v>
      </c>
    </row>
    <row x14ac:dyDescent="0.25" r="180" customHeight="1" ht="18.75">
      <c r="A180" s="7">
        <v>1</v>
      </c>
      <c r="B180" s="1" t="s">
        <v>464</v>
      </c>
      <c r="C180" s="1" t="s">
        <v>791</v>
      </c>
      <c r="D180" s="7">
        <v>6</v>
      </c>
      <c r="E180" s="7">
        <v>12</v>
      </c>
      <c r="F180" s="7">
        <v>18</v>
      </c>
      <c r="G180" s="1" t="s">
        <v>652</v>
      </c>
    </row>
    <row x14ac:dyDescent="0.25" r="181" customHeight="1" ht="18.75">
      <c r="A181" s="7">
        <v>1</v>
      </c>
      <c r="B181" s="1" t="s">
        <v>464</v>
      </c>
      <c r="C181" s="1" t="s">
        <v>792</v>
      </c>
      <c r="D181" s="7">
        <v>2</v>
      </c>
      <c r="E181" s="7">
        <v>0</v>
      </c>
      <c r="F181" s="7">
        <v>2</v>
      </c>
      <c r="G181" s="1" t="s">
        <v>652</v>
      </c>
    </row>
    <row x14ac:dyDescent="0.25" r="182" customHeight="1" ht="18.75">
      <c r="A182" s="7">
        <v>1</v>
      </c>
      <c r="B182" s="1" t="s">
        <v>464</v>
      </c>
      <c r="C182" s="1" t="s">
        <v>793</v>
      </c>
      <c r="D182" s="7">
        <v>2</v>
      </c>
      <c r="E182" s="7">
        <v>0</v>
      </c>
      <c r="F182" s="7">
        <v>2</v>
      </c>
      <c r="G182" s="1" t="s">
        <v>652</v>
      </c>
    </row>
    <row x14ac:dyDescent="0.25" r="183" customHeight="1" ht="18.75">
      <c r="A183" s="7">
        <v>1</v>
      </c>
      <c r="B183" s="1" t="s">
        <v>484</v>
      </c>
      <c r="C183" s="1" t="s">
        <v>794</v>
      </c>
      <c r="D183" s="7">
        <v>28</v>
      </c>
      <c r="E183" s="7">
        <v>6</v>
      </c>
      <c r="F183" s="7">
        <v>34</v>
      </c>
      <c r="G183" s="1" t="s">
        <v>652</v>
      </c>
    </row>
    <row x14ac:dyDescent="0.25" r="184" customHeight="1" ht="18.75">
      <c r="A184" s="7">
        <v>1</v>
      </c>
      <c r="B184" s="1" t="s">
        <v>484</v>
      </c>
      <c r="C184" s="1" t="s">
        <v>795</v>
      </c>
      <c r="D184" s="7">
        <v>37</v>
      </c>
      <c r="E184" s="7">
        <v>1</v>
      </c>
      <c r="F184" s="7">
        <v>38</v>
      </c>
      <c r="G184" s="1" t="s">
        <v>652</v>
      </c>
    </row>
    <row x14ac:dyDescent="0.25" r="185" customHeight="1" ht="18.75">
      <c r="A185" s="7">
        <v>1</v>
      </c>
      <c r="B185" s="1" t="s">
        <v>484</v>
      </c>
      <c r="C185" s="1" t="s">
        <v>796</v>
      </c>
      <c r="D185" s="7">
        <v>5</v>
      </c>
      <c r="E185" s="7">
        <v>1</v>
      </c>
      <c r="F185" s="7">
        <v>6</v>
      </c>
      <c r="G185" s="1" t="s">
        <v>652</v>
      </c>
    </row>
    <row x14ac:dyDescent="0.25" r="186" customHeight="1" ht="18.75">
      <c r="A186" s="7">
        <v>1</v>
      </c>
      <c r="B186" s="1" t="s">
        <v>484</v>
      </c>
      <c r="C186" s="1" t="s">
        <v>797</v>
      </c>
      <c r="D186" s="7">
        <v>14</v>
      </c>
      <c r="E186" s="7">
        <v>1</v>
      </c>
      <c r="F186" s="7">
        <v>15</v>
      </c>
      <c r="G186" s="1" t="s">
        <v>652</v>
      </c>
    </row>
    <row x14ac:dyDescent="0.25" r="187" customHeight="1" ht="18.75">
      <c r="A187" s="7">
        <v>1</v>
      </c>
      <c r="B187" s="1" t="s">
        <v>484</v>
      </c>
      <c r="C187" s="1" t="s">
        <v>798</v>
      </c>
      <c r="D187" s="7">
        <v>4</v>
      </c>
      <c r="E187" s="7">
        <v>1</v>
      </c>
      <c r="F187" s="7">
        <v>5</v>
      </c>
      <c r="G187" s="1" t="s">
        <v>652</v>
      </c>
    </row>
    <row x14ac:dyDescent="0.25" r="188" customHeight="1" ht="18.75">
      <c r="A188" s="7">
        <v>1</v>
      </c>
      <c r="B188" s="1" t="s">
        <v>484</v>
      </c>
      <c r="C188" s="1" t="s">
        <v>799</v>
      </c>
      <c r="D188" s="7">
        <v>31</v>
      </c>
      <c r="E188" s="7">
        <v>2</v>
      </c>
      <c r="F188" s="7">
        <v>33</v>
      </c>
      <c r="G188" s="1" t="s">
        <v>652</v>
      </c>
    </row>
    <row x14ac:dyDescent="0.25" r="189" customHeight="1" ht="18.75">
      <c r="A189" s="7">
        <v>1</v>
      </c>
      <c r="B189" s="1" t="s">
        <v>484</v>
      </c>
      <c r="C189" s="1" t="s">
        <v>800</v>
      </c>
      <c r="D189" s="7">
        <v>2</v>
      </c>
      <c r="E189" s="7">
        <v>0</v>
      </c>
      <c r="F189" s="7">
        <v>2</v>
      </c>
      <c r="G189" s="1" t="s">
        <v>652</v>
      </c>
    </row>
    <row x14ac:dyDescent="0.25" r="190" customHeight="1" ht="18.75">
      <c r="A190" s="7">
        <v>1</v>
      </c>
      <c r="B190" s="1" t="s">
        <v>326</v>
      </c>
      <c r="C190" s="1" t="s">
        <v>673</v>
      </c>
      <c r="D190" s="7">
        <v>12</v>
      </c>
      <c r="E190" s="7">
        <v>12</v>
      </c>
      <c r="F190" s="7">
        <v>24</v>
      </c>
      <c r="G190" s="1" t="s">
        <v>652</v>
      </c>
    </row>
    <row x14ac:dyDescent="0.25" r="191" customHeight="1" ht="18.75">
      <c r="A191" s="7">
        <v>1</v>
      </c>
      <c r="B191" s="1" t="s">
        <v>463</v>
      </c>
      <c r="C191" s="1" t="s">
        <v>801</v>
      </c>
      <c r="D191" s="7">
        <v>10</v>
      </c>
      <c r="E191" s="7">
        <v>12</v>
      </c>
      <c r="F191" s="7">
        <v>22</v>
      </c>
      <c r="G191" s="1" t="s">
        <v>652</v>
      </c>
    </row>
    <row x14ac:dyDescent="0.25" r="192" customHeight="1" ht="18.75">
      <c r="A192" s="7">
        <v>1</v>
      </c>
      <c r="B192" s="1" t="s">
        <v>463</v>
      </c>
      <c r="C192" s="1" t="s">
        <v>802</v>
      </c>
      <c r="D192" s="7">
        <v>1</v>
      </c>
      <c r="E192" s="7">
        <v>0</v>
      </c>
      <c r="F192" s="7">
        <v>1</v>
      </c>
      <c r="G192" s="1" t="s">
        <v>652</v>
      </c>
    </row>
    <row x14ac:dyDescent="0.25" r="193" customHeight="1" ht="18.75">
      <c r="A193" s="7">
        <v>1</v>
      </c>
      <c r="B193" s="1" t="s">
        <v>463</v>
      </c>
      <c r="C193" s="1" t="s">
        <v>803</v>
      </c>
      <c r="D193" s="7">
        <v>1</v>
      </c>
      <c r="E193" s="7">
        <v>1</v>
      </c>
      <c r="F193" s="7">
        <v>2</v>
      </c>
      <c r="G193" s="1" t="s">
        <v>652</v>
      </c>
    </row>
    <row x14ac:dyDescent="0.25" r="194" customHeight="1" ht="18.75">
      <c r="A194" s="7">
        <v>1</v>
      </c>
      <c r="B194" s="1" t="s">
        <v>463</v>
      </c>
      <c r="C194" s="1" t="s">
        <v>804</v>
      </c>
      <c r="D194" s="7">
        <v>0</v>
      </c>
      <c r="E194" s="7">
        <v>0</v>
      </c>
      <c r="F194" s="7">
        <v>0</v>
      </c>
      <c r="G194" s="1" t="s">
        <v>721</v>
      </c>
    </row>
    <row x14ac:dyDescent="0.25" r="195" customHeight="1" ht="18.75">
      <c r="A195" s="7">
        <v>1</v>
      </c>
      <c r="B195" s="1" t="s">
        <v>474</v>
      </c>
      <c r="C195" s="1" t="s">
        <v>665</v>
      </c>
      <c r="D195" s="7">
        <v>8</v>
      </c>
      <c r="E195" s="7">
        <v>0</v>
      </c>
      <c r="F195" s="7">
        <v>8</v>
      </c>
      <c r="G195" s="1" t="s">
        <v>652</v>
      </c>
    </row>
    <row x14ac:dyDescent="0.25" r="196" customHeight="1" ht="18.75">
      <c r="A196" s="7">
        <v>1</v>
      </c>
      <c r="B196" s="1" t="s">
        <v>474</v>
      </c>
      <c r="C196" s="1" t="s">
        <v>681</v>
      </c>
      <c r="D196" s="7">
        <v>34</v>
      </c>
      <c r="E196" s="7">
        <v>43</v>
      </c>
      <c r="F196" s="7">
        <v>77</v>
      </c>
      <c r="G196" s="1" t="s">
        <v>652</v>
      </c>
    </row>
    <row x14ac:dyDescent="0.25" r="197" customHeight="1" ht="18.75">
      <c r="A197" s="7">
        <v>1</v>
      </c>
      <c r="B197" s="1" t="s">
        <v>474</v>
      </c>
      <c r="C197" s="1" t="s">
        <v>749</v>
      </c>
      <c r="D197" s="7">
        <v>6</v>
      </c>
      <c r="E197" s="7">
        <v>0</v>
      </c>
      <c r="F197" s="7">
        <v>6</v>
      </c>
      <c r="G197" s="1" t="s">
        <v>652</v>
      </c>
    </row>
    <row x14ac:dyDescent="0.25" r="198" customHeight="1" ht="18.75">
      <c r="A198" s="7">
        <v>1</v>
      </c>
      <c r="B198" s="1" t="s">
        <v>474</v>
      </c>
      <c r="C198" s="1" t="s">
        <v>661</v>
      </c>
      <c r="D198" s="7">
        <v>9</v>
      </c>
      <c r="E198" s="7">
        <v>3</v>
      </c>
      <c r="F198" s="7">
        <v>12</v>
      </c>
      <c r="G198" s="1" t="s">
        <v>652</v>
      </c>
    </row>
    <row x14ac:dyDescent="0.25" r="199" customHeight="1" ht="18.75">
      <c r="A199" s="7">
        <v>1</v>
      </c>
      <c r="B199" s="1" t="s">
        <v>474</v>
      </c>
      <c r="C199" s="1" t="s">
        <v>805</v>
      </c>
      <c r="D199" s="7">
        <v>6</v>
      </c>
      <c r="E199" s="7">
        <v>0</v>
      </c>
      <c r="F199" s="7">
        <v>6</v>
      </c>
      <c r="G199" s="1" t="s">
        <v>652</v>
      </c>
    </row>
    <row x14ac:dyDescent="0.25" r="200" customHeight="1" ht="18.75">
      <c r="A200" s="7">
        <v>1</v>
      </c>
      <c r="B200" s="1" t="s">
        <v>474</v>
      </c>
      <c r="C200" s="1" t="s">
        <v>806</v>
      </c>
      <c r="D200" s="7">
        <v>6</v>
      </c>
      <c r="E200" s="7">
        <v>0</v>
      </c>
      <c r="F200" s="7">
        <v>6</v>
      </c>
      <c r="G200" s="1" t="s">
        <v>652</v>
      </c>
    </row>
    <row x14ac:dyDescent="0.25" r="201" customHeight="1" ht="18.75">
      <c r="A201" s="7">
        <v>1</v>
      </c>
      <c r="B201" s="1" t="s">
        <v>328</v>
      </c>
      <c r="C201" s="1" t="s">
        <v>807</v>
      </c>
      <c r="D201" s="7">
        <v>7</v>
      </c>
      <c r="E201" s="7">
        <v>9</v>
      </c>
      <c r="F201" s="7">
        <v>16</v>
      </c>
      <c r="G201" s="1" t="s">
        <v>652</v>
      </c>
    </row>
    <row x14ac:dyDescent="0.25" r="202" customHeight="1" ht="18.75">
      <c r="A202" s="7">
        <v>1</v>
      </c>
      <c r="B202" s="1" t="s">
        <v>418</v>
      </c>
      <c r="C202" s="1" t="s">
        <v>808</v>
      </c>
      <c r="D202" s="7">
        <v>2</v>
      </c>
      <c r="E202" s="7">
        <v>1</v>
      </c>
      <c r="F202" s="7">
        <v>3</v>
      </c>
      <c r="G202" s="1" t="s">
        <v>652</v>
      </c>
    </row>
    <row x14ac:dyDescent="0.25" r="203" customHeight="1" ht="18.75">
      <c r="A203" s="7">
        <v>1</v>
      </c>
      <c r="B203" s="1" t="s">
        <v>418</v>
      </c>
      <c r="C203" s="1" t="s">
        <v>809</v>
      </c>
      <c r="D203" s="7">
        <v>2</v>
      </c>
      <c r="E203" s="7">
        <v>1</v>
      </c>
      <c r="F203" s="7">
        <v>3</v>
      </c>
      <c r="G203" s="1" t="s">
        <v>652</v>
      </c>
    </row>
    <row x14ac:dyDescent="0.25" r="204" customHeight="1" ht="18.75">
      <c r="A204" s="7">
        <v>1</v>
      </c>
      <c r="B204" s="1" t="s">
        <v>330</v>
      </c>
      <c r="C204" s="1" t="s">
        <v>810</v>
      </c>
      <c r="D204" s="7">
        <v>5</v>
      </c>
      <c r="E204" s="7">
        <v>5</v>
      </c>
      <c r="F204" s="7">
        <v>10</v>
      </c>
      <c r="G204" s="1" t="s">
        <v>652</v>
      </c>
    </row>
    <row x14ac:dyDescent="0.25" r="205" customHeight="1" ht="18.75">
      <c r="A205" s="7">
        <v>1</v>
      </c>
      <c r="B205" s="1" t="s">
        <v>473</v>
      </c>
      <c r="C205" s="1" t="s">
        <v>694</v>
      </c>
      <c r="D205" s="7">
        <v>171</v>
      </c>
      <c r="E205" s="7">
        <v>119</v>
      </c>
      <c r="F205" s="7">
        <v>290</v>
      </c>
      <c r="G205" s="1" t="s">
        <v>652</v>
      </c>
    </row>
    <row x14ac:dyDescent="0.25" r="206" customHeight="1" ht="18.75">
      <c r="A206" s="7">
        <v>1</v>
      </c>
      <c r="B206" s="1" t="s">
        <v>473</v>
      </c>
      <c r="C206" s="1" t="s">
        <v>695</v>
      </c>
      <c r="D206" s="7">
        <v>63</v>
      </c>
      <c r="E206" s="7">
        <v>37</v>
      </c>
      <c r="F206" s="7">
        <v>100</v>
      </c>
      <c r="G206" s="1" t="s">
        <v>652</v>
      </c>
    </row>
    <row x14ac:dyDescent="0.25" r="207" customHeight="1" ht="18.75">
      <c r="A207" s="7">
        <v>1</v>
      </c>
      <c r="B207" s="1" t="s">
        <v>473</v>
      </c>
      <c r="C207" s="1" t="s">
        <v>696</v>
      </c>
      <c r="D207" s="7">
        <v>67</v>
      </c>
      <c r="E207" s="7">
        <v>36</v>
      </c>
      <c r="F207" s="7">
        <v>103</v>
      </c>
      <c r="G207" s="1" t="s">
        <v>652</v>
      </c>
    </row>
    <row x14ac:dyDescent="0.25" r="208" customHeight="1" ht="18.75">
      <c r="A208" s="7">
        <v>1</v>
      </c>
      <c r="B208" s="1" t="s">
        <v>473</v>
      </c>
      <c r="C208" s="1" t="s">
        <v>697</v>
      </c>
      <c r="D208" s="7">
        <v>104</v>
      </c>
      <c r="E208" s="7">
        <v>52</v>
      </c>
      <c r="F208" s="7">
        <v>156</v>
      </c>
      <c r="G208" s="1" t="s">
        <v>652</v>
      </c>
    </row>
    <row x14ac:dyDescent="0.25" r="209" customHeight="1" ht="18.75">
      <c r="A209" s="7">
        <v>1</v>
      </c>
      <c r="B209" s="1" t="s">
        <v>473</v>
      </c>
      <c r="C209" s="1" t="s">
        <v>698</v>
      </c>
      <c r="D209" s="7">
        <v>146</v>
      </c>
      <c r="E209" s="7">
        <v>101</v>
      </c>
      <c r="F209" s="7">
        <v>247</v>
      </c>
      <c r="G209" s="1" t="s">
        <v>652</v>
      </c>
    </row>
    <row x14ac:dyDescent="0.25" r="210" customHeight="1" ht="18.75">
      <c r="A210" s="7">
        <v>1</v>
      </c>
      <c r="B210" s="1" t="s">
        <v>473</v>
      </c>
      <c r="C210" s="1" t="s">
        <v>699</v>
      </c>
      <c r="D210" s="7">
        <v>8</v>
      </c>
      <c r="E210" s="7">
        <v>0</v>
      </c>
      <c r="F210" s="7">
        <v>8</v>
      </c>
      <c r="G210" s="1" t="s">
        <v>652</v>
      </c>
    </row>
    <row x14ac:dyDescent="0.25" r="211" customHeight="1" ht="18.75">
      <c r="A211" s="7">
        <v>1</v>
      </c>
      <c r="B211" s="1" t="s">
        <v>324</v>
      </c>
      <c r="C211" s="1" t="s">
        <v>811</v>
      </c>
      <c r="D211" s="7">
        <v>10</v>
      </c>
      <c r="E211" s="7">
        <v>0</v>
      </c>
      <c r="F211" s="7">
        <v>10</v>
      </c>
      <c r="G211" s="1" t="s">
        <v>652</v>
      </c>
    </row>
    <row x14ac:dyDescent="0.25" r="212" customHeight="1" ht="18.75">
      <c r="A212" s="7">
        <v>1</v>
      </c>
      <c r="B212" s="1" t="s">
        <v>409</v>
      </c>
      <c r="C212" s="1" t="s">
        <v>812</v>
      </c>
      <c r="D212" s="7">
        <v>9</v>
      </c>
      <c r="E212" s="7">
        <v>0</v>
      </c>
      <c r="F212" s="7">
        <v>9</v>
      </c>
      <c r="G212" s="1" t="s">
        <v>721</v>
      </c>
    </row>
    <row x14ac:dyDescent="0.25" r="213" customHeight="1" ht="18.75">
      <c r="A213" s="7">
        <v>1</v>
      </c>
      <c r="B213" s="1" t="s">
        <v>409</v>
      </c>
      <c r="C213" s="1" t="s">
        <v>813</v>
      </c>
      <c r="D213" s="7">
        <v>1</v>
      </c>
      <c r="E213" s="7">
        <v>1</v>
      </c>
      <c r="F213" s="7">
        <v>2</v>
      </c>
      <c r="G213" s="1" t="s">
        <v>652</v>
      </c>
    </row>
    <row x14ac:dyDescent="0.25" r="214" customHeight="1" ht="18.75">
      <c r="A214" s="7">
        <v>1</v>
      </c>
      <c r="B214" s="1" t="s">
        <v>452</v>
      </c>
      <c r="C214" s="1" t="s">
        <v>814</v>
      </c>
      <c r="D214" s="7">
        <v>3</v>
      </c>
      <c r="E214" s="7">
        <v>3</v>
      </c>
      <c r="F214" s="7">
        <v>6</v>
      </c>
      <c r="G214" s="1" t="s">
        <v>652</v>
      </c>
    </row>
    <row x14ac:dyDescent="0.25" r="215" customHeight="1" ht="18.75">
      <c r="A215" s="7">
        <v>1</v>
      </c>
      <c r="B215" s="1" t="s">
        <v>452</v>
      </c>
      <c r="C215" s="1" t="s">
        <v>815</v>
      </c>
      <c r="D215" s="7">
        <v>1</v>
      </c>
      <c r="E215" s="7">
        <v>1</v>
      </c>
      <c r="F215" s="7">
        <v>2</v>
      </c>
      <c r="G215" s="1" t="s">
        <v>652</v>
      </c>
    </row>
    <row x14ac:dyDescent="0.25" r="216" customHeight="1" ht="18.75">
      <c r="A216" s="7">
        <v>1</v>
      </c>
      <c r="B216" s="1" t="s">
        <v>452</v>
      </c>
      <c r="C216" s="1" t="s">
        <v>816</v>
      </c>
      <c r="D216" s="7">
        <v>3</v>
      </c>
      <c r="E216" s="7">
        <v>3</v>
      </c>
      <c r="F216" s="7">
        <v>6</v>
      </c>
      <c r="G216" s="1" t="s">
        <v>652</v>
      </c>
    </row>
    <row x14ac:dyDescent="0.25" r="217" customHeight="1" ht="18.75">
      <c r="A217" s="7">
        <v>1</v>
      </c>
      <c r="B217" s="1" t="s">
        <v>452</v>
      </c>
      <c r="C217" s="1" t="s">
        <v>817</v>
      </c>
      <c r="D217" s="7">
        <v>1</v>
      </c>
      <c r="E217" s="7">
        <v>3</v>
      </c>
      <c r="F217" s="7">
        <v>4</v>
      </c>
      <c r="G217" s="1" t="s">
        <v>652</v>
      </c>
    </row>
    <row x14ac:dyDescent="0.25" r="218" customHeight="1" ht="18.75">
      <c r="A218" s="7">
        <v>1</v>
      </c>
      <c r="B218" s="1" t="s">
        <v>426</v>
      </c>
      <c r="C218" s="1" t="s">
        <v>657</v>
      </c>
      <c r="D218" s="7">
        <v>29</v>
      </c>
      <c r="E218" s="7">
        <v>36</v>
      </c>
      <c r="F218" s="7">
        <v>65</v>
      </c>
      <c r="G218" s="1" t="s">
        <v>652</v>
      </c>
    </row>
    <row x14ac:dyDescent="0.25" r="219" customHeight="1" ht="18.75">
      <c r="A219" s="7">
        <v>1</v>
      </c>
      <c r="B219" s="1" t="s">
        <v>426</v>
      </c>
      <c r="C219" s="1" t="s">
        <v>658</v>
      </c>
      <c r="D219" s="7">
        <v>0</v>
      </c>
      <c r="E219" s="7">
        <v>8</v>
      </c>
      <c r="F219" s="7">
        <v>8</v>
      </c>
      <c r="G219" s="1" t="s">
        <v>652</v>
      </c>
    </row>
    <row x14ac:dyDescent="0.25" r="220" customHeight="1" ht="18.75">
      <c r="A220" s="7">
        <v>1</v>
      </c>
      <c r="B220" s="1" t="s">
        <v>471</v>
      </c>
      <c r="C220" s="1" t="s">
        <v>676</v>
      </c>
      <c r="D220" s="7">
        <v>1</v>
      </c>
      <c r="E220" s="7">
        <v>1</v>
      </c>
      <c r="F220" s="7">
        <v>2</v>
      </c>
      <c r="G220" s="1" t="s">
        <v>652</v>
      </c>
    </row>
    <row x14ac:dyDescent="0.25" r="221" customHeight="1" ht="18.75">
      <c r="A221" s="7">
        <v>1</v>
      </c>
      <c r="B221" s="1" t="s">
        <v>471</v>
      </c>
      <c r="C221" s="1" t="s">
        <v>677</v>
      </c>
      <c r="D221" s="7">
        <v>6</v>
      </c>
      <c r="E221" s="7">
        <v>0</v>
      </c>
      <c r="F221" s="7">
        <v>6</v>
      </c>
      <c r="G221" s="1" t="s">
        <v>652</v>
      </c>
    </row>
    <row x14ac:dyDescent="0.25" r="222" customHeight="1" ht="18.75">
      <c r="A222" s="7">
        <v>1</v>
      </c>
      <c r="B222" s="1" t="s">
        <v>471</v>
      </c>
      <c r="C222" s="1" t="s">
        <v>678</v>
      </c>
      <c r="D222" s="7">
        <v>2</v>
      </c>
      <c r="E222" s="7">
        <v>0</v>
      </c>
      <c r="F222" s="7">
        <v>2</v>
      </c>
      <c r="G222" s="1" t="s">
        <v>652</v>
      </c>
    </row>
    <row x14ac:dyDescent="0.25" r="223" customHeight="1" ht="18.75">
      <c r="A223" s="7">
        <v>1</v>
      </c>
      <c r="B223" s="1" t="s">
        <v>471</v>
      </c>
      <c r="C223" s="1" t="s">
        <v>679</v>
      </c>
      <c r="D223" s="7">
        <v>2</v>
      </c>
      <c r="E223" s="7">
        <v>2</v>
      </c>
      <c r="F223" s="7">
        <v>4</v>
      </c>
      <c r="G223" s="1" t="s">
        <v>652</v>
      </c>
    </row>
    <row x14ac:dyDescent="0.25" r="224" customHeight="1" ht="18.75">
      <c r="A224" s="7">
        <v>1</v>
      </c>
      <c r="B224" s="1" t="s">
        <v>471</v>
      </c>
      <c r="C224" s="1" t="s">
        <v>680</v>
      </c>
      <c r="D224" s="7">
        <v>1</v>
      </c>
      <c r="E224" s="7">
        <v>1</v>
      </c>
      <c r="F224" s="7">
        <v>2</v>
      </c>
      <c r="G224" s="1" t="s">
        <v>652</v>
      </c>
    </row>
    <row x14ac:dyDescent="0.25" r="225" customHeight="1" ht="18.75">
      <c r="A225" s="7">
        <v>1</v>
      </c>
      <c r="B225" s="1" t="s">
        <v>336</v>
      </c>
      <c r="C225" s="1" t="s">
        <v>818</v>
      </c>
      <c r="D225" s="7">
        <v>3</v>
      </c>
      <c r="E225" s="7">
        <v>3</v>
      </c>
      <c r="F225" s="7">
        <v>6</v>
      </c>
      <c r="G225" s="1" t="s">
        <v>652</v>
      </c>
    </row>
    <row x14ac:dyDescent="0.25" r="226" customHeight="1" ht="18.75">
      <c r="A226" s="7">
        <v>1</v>
      </c>
      <c r="B226" s="1" t="s">
        <v>338</v>
      </c>
      <c r="C226" s="1" t="s">
        <v>819</v>
      </c>
      <c r="D226" s="7">
        <v>12</v>
      </c>
      <c r="E226" s="7">
        <v>3</v>
      </c>
      <c r="F226" s="7">
        <v>15</v>
      </c>
      <c r="G226" s="1" t="s">
        <v>652</v>
      </c>
    </row>
    <row x14ac:dyDescent="0.25" r="227" customHeight="1" ht="18.75">
      <c r="A227" s="7">
        <v>1</v>
      </c>
      <c r="B227" s="1" t="s">
        <v>432</v>
      </c>
      <c r="C227" s="1" t="s">
        <v>710</v>
      </c>
      <c r="D227" s="7">
        <v>13</v>
      </c>
      <c r="E227" s="7">
        <v>30</v>
      </c>
      <c r="F227" s="7">
        <v>43</v>
      </c>
      <c r="G227" s="1" t="s">
        <v>652</v>
      </c>
    </row>
    <row x14ac:dyDescent="0.25" r="228" customHeight="1" ht="18.75">
      <c r="A228" s="7">
        <v>1</v>
      </c>
      <c r="B228" s="1" t="s">
        <v>432</v>
      </c>
      <c r="C228" s="1" t="s">
        <v>820</v>
      </c>
      <c r="D228" s="7">
        <v>1</v>
      </c>
      <c r="E228" s="7">
        <v>1</v>
      </c>
      <c r="F228" s="7">
        <v>2</v>
      </c>
      <c r="G228" s="1" t="s">
        <v>652</v>
      </c>
    </row>
    <row x14ac:dyDescent="0.25" r="229" customHeight="1" ht="18.75">
      <c r="A229" s="7">
        <v>1</v>
      </c>
      <c r="B229" s="1" t="s">
        <v>434</v>
      </c>
      <c r="C229" s="1" t="s">
        <v>821</v>
      </c>
      <c r="D229" s="7">
        <v>33</v>
      </c>
      <c r="E229" s="7">
        <v>1</v>
      </c>
      <c r="F229" s="7">
        <v>34</v>
      </c>
      <c r="G229" s="1" t="s">
        <v>652</v>
      </c>
    </row>
    <row x14ac:dyDescent="0.25" r="230" customHeight="1" ht="18.75">
      <c r="A230" s="7">
        <v>1</v>
      </c>
      <c r="B230" s="1" t="s">
        <v>434</v>
      </c>
      <c r="C230" s="1" t="s">
        <v>822</v>
      </c>
      <c r="D230" s="7">
        <v>26</v>
      </c>
      <c r="E230" s="7">
        <v>1</v>
      </c>
      <c r="F230" s="7">
        <v>27</v>
      </c>
      <c r="G230" s="1" t="s">
        <v>652</v>
      </c>
    </row>
    <row x14ac:dyDescent="0.25" r="231" customHeight="1" ht="18.75">
      <c r="A231" s="7">
        <v>1</v>
      </c>
      <c r="B231" s="1" t="s">
        <v>340</v>
      </c>
      <c r="C231" s="1" t="s">
        <v>823</v>
      </c>
      <c r="D231" s="7">
        <v>6</v>
      </c>
      <c r="E231" s="7">
        <v>3</v>
      </c>
      <c r="F231" s="7">
        <v>9</v>
      </c>
      <c r="G231" s="1" t="s">
        <v>652</v>
      </c>
    </row>
    <row x14ac:dyDescent="0.25" r="232" customHeight="1" ht="18.75">
      <c r="A232" s="7">
        <v>1</v>
      </c>
      <c r="B232" s="1" t="s">
        <v>438</v>
      </c>
      <c r="C232" s="1" t="s">
        <v>824</v>
      </c>
      <c r="D232" s="7">
        <v>13</v>
      </c>
      <c r="E232" s="7">
        <v>0</v>
      </c>
      <c r="F232" s="7">
        <v>13</v>
      </c>
      <c r="G232" s="1" t="s">
        <v>652</v>
      </c>
    </row>
    <row x14ac:dyDescent="0.25" r="233" customHeight="1" ht="18.75">
      <c r="A233" s="7">
        <v>1</v>
      </c>
      <c r="B233" s="1" t="s">
        <v>438</v>
      </c>
      <c r="C233" s="1" t="s">
        <v>825</v>
      </c>
      <c r="D233" s="7">
        <v>2</v>
      </c>
      <c r="E233" s="7">
        <v>0</v>
      </c>
      <c r="F233" s="7">
        <v>2</v>
      </c>
      <c r="G233" s="1" t="s">
        <v>652</v>
      </c>
    </row>
    <row x14ac:dyDescent="0.25" r="234" customHeight="1" ht="18.75">
      <c r="A234" s="7">
        <v>1</v>
      </c>
      <c r="B234" s="1" t="s">
        <v>438</v>
      </c>
      <c r="C234" s="1" t="s">
        <v>806</v>
      </c>
      <c r="D234" s="7">
        <v>1</v>
      </c>
      <c r="E234" s="7">
        <v>5</v>
      </c>
      <c r="F234" s="7">
        <v>6</v>
      </c>
      <c r="G234" s="1" t="s">
        <v>652</v>
      </c>
    </row>
    <row x14ac:dyDescent="0.25" r="235" customHeight="1" ht="18.75">
      <c r="A235" s="7">
        <v>1</v>
      </c>
      <c r="B235" s="1" t="s">
        <v>423</v>
      </c>
      <c r="C235" s="1" t="s">
        <v>826</v>
      </c>
      <c r="D235" s="7">
        <v>4</v>
      </c>
      <c r="E235" s="7">
        <v>0</v>
      </c>
      <c r="F235" s="7">
        <v>4</v>
      </c>
      <c r="G235" s="1" t="s">
        <v>652</v>
      </c>
    </row>
    <row x14ac:dyDescent="0.25" r="236" customHeight="1" ht="18.75">
      <c r="A236" s="7">
        <v>1</v>
      </c>
      <c r="B236" s="1" t="s">
        <v>423</v>
      </c>
      <c r="C236" s="1" t="s">
        <v>733</v>
      </c>
      <c r="D236" s="7">
        <v>18</v>
      </c>
      <c r="E236" s="7">
        <v>10</v>
      </c>
      <c r="F236" s="7">
        <v>28</v>
      </c>
      <c r="G236" s="1" t="s">
        <v>652</v>
      </c>
    </row>
    <row x14ac:dyDescent="0.25" r="237" customHeight="1" ht="18.75">
      <c r="A237" s="7">
        <v>1</v>
      </c>
      <c r="B237" s="1" t="s">
        <v>411</v>
      </c>
      <c r="C237" s="1" t="s">
        <v>754</v>
      </c>
      <c r="D237" s="7">
        <v>11</v>
      </c>
      <c r="E237" s="7">
        <v>1</v>
      </c>
      <c r="F237" s="7">
        <v>12</v>
      </c>
      <c r="G237" s="1" t="s">
        <v>652</v>
      </c>
    </row>
    <row x14ac:dyDescent="0.25" r="238" customHeight="1" ht="18.75">
      <c r="A238" s="7">
        <v>1</v>
      </c>
      <c r="B238" s="1" t="s">
        <v>411</v>
      </c>
      <c r="C238" s="1" t="s">
        <v>827</v>
      </c>
      <c r="D238" s="7">
        <v>2</v>
      </c>
      <c r="E238" s="7">
        <v>2</v>
      </c>
      <c r="F238" s="7">
        <v>4</v>
      </c>
      <c r="G238" s="1" t="s">
        <v>652</v>
      </c>
    </row>
    <row x14ac:dyDescent="0.25" r="239" customHeight="1" ht="18.75">
      <c r="A239" s="7">
        <v>1</v>
      </c>
      <c r="B239" s="1" t="s">
        <v>342</v>
      </c>
      <c r="C239" s="1" t="s">
        <v>665</v>
      </c>
      <c r="D239" s="7">
        <v>15</v>
      </c>
      <c r="E239" s="7">
        <v>20</v>
      </c>
      <c r="F239" s="7">
        <v>35</v>
      </c>
      <c r="G239" s="1" t="s">
        <v>652</v>
      </c>
    </row>
    <row x14ac:dyDescent="0.25" r="240" customHeight="1" ht="18.75">
      <c r="A240" s="7">
        <v>1</v>
      </c>
      <c r="B240" s="1" t="s">
        <v>344</v>
      </c>
      <c r="C240" s="1" t="s">
        <v>828</v>
      </c>
      <c r="D240" s="7">
        <v>4</v>
      </c>
      <c r="E240" s="7">
        <v>2</v>
      </c>
      <c r="F240" s="7">
        <v>6</v>
      </c>
      <c r="G240" s="1" t="s">
        <v>652</v>
      </c>
    </row>
    <row x14ac:dyDescent="0.25" r="241" customHeight="1" ht="18.75">
      <c r="A241" s="7">
        <v>1</v>
      </c>
      <c r="B241" s="2" t="s">
        <v>457</v>
      </c>
      <c r="C241" s="1" t="s">
        <v>784</v>
      </c>
      <c r="D241" s="7">
        <v>31</v>
      </c>
      <c r="E241" s="7">
        <v>16</v>
      </c>
      <c r="F241" s="7">
        <v>47</v>
      </c>
      <c r="G241" s="1" t="s">
        <v>652</v>
      </c>
    </row>
    <row x14ac:dyDescent="0.25" r="242" customHeight="1" ht="18.75">
      <c r="A242" s="7">
        <v>1</v>
      </c>
      <c r="B242" s="2" t="s">
        <v>457</v>
      </c>
      <c r="C242" s="1" t="s">
        <v>785</v>
      </c>
      <c r="D242" s="7">
        <v>16</v>
      </c>
      <c r="E242" s="7">
        <v>0</v>
      </c>
      <c r="F242" s="7">
        <v>16</v>
      </c>
      <c r="G242" s="1" t="s">
        <v>652</v>
      </c>
    </row>
    <row x14ac:dyDescent="0.25" r="243" customHeight="1" ht="18.75">
      <c r="A243" s="7">
        <v>1</v>
      </c>
      <c r="B243" s="2" t="s">
        <v>457</v>
      </c>
      <c r="C243" s="1" t="s">
        <v>786</v>
      </c>
      <c r="D243" s="7">
        <v>5</v>
      </c>
      <c r="E243" s="7">
        <v>7</v>
      </c>
      <c r="F243" s="7">
        <v>12</v>
      </c>
      <c r="G243" s="1" t="s">
        <v>652</v>
      </c>
    </row>
    <row x14ac:dyDescent="0.25" r="244" customHeight="1" ht="18.75">
      <c r="A244" s="7">
        <v>1</v>
      </c>
      <c r="B244" s="2" t="s">
        <v>457</v>
      </c>
      <c r="C244" s="1" t="s">
        <v>787</v>
      </c>
      <c r="D244" s="7">
        <v>24</v>
      </c>
      <c r="E244" s="7">
        <v>6</v>
      </c>
      <c r="F244" s="7">
        <v>30</v>
      </c>
      <c r="G244" s="1" t="s">
        <v>652</v>
      </c>
    </row>
    <row x14ac:dyDescent="0.25" r="245" customHeight="1" ht="18.75">
      <c r="A245" s="7">
        <v>1</v>
      </c>
      <c r="B245" s="1" t="s">
        <v>346</v>
      </c>
      <c r="C245" s="1" t="s">
        <v>757</v>
      </c>
      <c r="D245" s="7">
        <v>2</v>
      </c>
      <c r="E245" s="7">
        <v>2</v>
      </c>
      <c r="F245" s="7">
        <v>4</v>
      </c>
      <c r="G245" s="1" t="s">
        <v>652</v>
      </c>
    </row>
    <row x14ac:dyDescent="0.25" r="246" customHeight="1" ht="18.75">
      <c r="A246" s="7">
        <v>1</v>
      </c>
      <c r="B246" s="1" t="s">
        <v>348</v>
      </c>
      <c r="C246" s="1" t="s">
        <v>751</v>
      </c>
      <c r="D246" s="7">
        <v>7</v>
      </c>
      <c r="E246" s="7">
        <v>3</v>
      </c>
      <c r="F246" s="7">
        <v>10</v>
      </c>
      <c r="G246" s="1" t="s">
        <v>652</v>
      </c>
    </row>
    <row x14ac:dyDescent="0.25" r="247" customHeight="1" ht="18.75">
      <c r="A247" s="7">
        <v>1</v>
      </c>
      <c r="B247" s="1" t="s">
        <v>469</v>
      </c>
      <c r="C247" s="1" t="s">
        <v>829</v>
      </c>
      <c r="D247" s="7">
        <v>2</v>
      </c>
      <c r="E247" s="7">
        <v>2</v>
      </c>
      <c r="F247" s="7">
        <v>4</v>
      </c>
      <c r="G247" s="1" t="s">
        <v>652</v>
      </c>
    </row>
    <row x14ac:dyDescent="0.25" r="248" customHeight="1" ht="18.75">
      <c r="A248" s="7">
        <v>1</v>
      </c>
      <c r="B248" s="1" t="s">
        <v>469</v>
      </c>
      <c r="C248" s="1" t="s">
        <v>830</v>
      </c>
      <c r="D248" s="7">
        <v>7</v>
      </c>
      <c r="E248" s="7">
        <v>6</v>
      </c>
      <c r="F248" s="7">
        <v>13</v>
      </c>
      <c r="G248" s="1" t="s">
        <v>652</v>
      </c>
    </row>
    <row x14ac:dyDescent="0.25" r="249" customHeight="1" ht="18.75">
      <c r="A249" s="7">
        <v>1</v>
      </c>
      <c r="B249" s="1" t="s">
        <v>469</v>
      </c>
      <c r="C249" s="1" t="s">
        <v>810</v>
      </c>
      <c r="D249" s="7">
        <v>1</v>
      </c>
      <c r="E249" s="7">
        <v>1</v>
      </c>
      <c r="F249" s="7">
        <v>2</v>
      </c>
      <c r="G249" s="1" t="s">
        <v>652</v>
      </c>
    </row>
    <row x14ac:dyDescent="0.25" r="250" customHeight="1" ht="18.75">
      <c r="A250" s="7">
        <v>1</v>
      </c>
      <c r="B250" s="1" t="s">
        <v>469</v>
      </c>
      <c r="C250" s="1" t="s">
        <v>831</v>
      </c>
      <c r="D250" s="7">
        <v>2</v>
      </c>
      <c r="E250" s="7">
        <v>1</v>
      </c>
      <c r="F250" s="7">
        <v>3</v>
      </c>
      <c r="G250" s="1" t="s">
        <v>652</v>
      </c>
    </row>
    <row x14ac:dyDescent="0.25" r="251" customHeight="1" ht="18.75">
      <c r="A251" s="7">
        <v>1</v>
      </c>
      <c r="B251" s="1" t="s">
        <v>469</v>
      </c>
      <c r="C251" s="1" t="s">
        <v>832</v>
      </c>
      <c r="D251" s="7">
        <v>24</v>
      </c>
      <c r="E251" s="7">
        <v>22</v>
      </c>
      <c r="F251" s="7">
        <v>46</v>
      </c>
      <c r="G251" s="1" t="s">
        <v>652</v>
      </c>
    </row>
    <row x14ac:dyDescent="0.25" r="252" customHeight="1" ht="18.75">
      <c r="A252" s="7">
        <v>1</v>
      </c>
      <c r="B252" s="1" t="s">
        <v>440</v>
      </c>
      <c r="C252" s="1" t="s">
        <v>833</v>
      </c>
      <c r="D252" s="7">
        <v>67</v>
      </c>
      <c r="E252" s="7">
        <v>75</v>
      </c>
      <c r="F252" s="7">
        <v>142</v>
      </c>
      <c r="G252" s="1" t="s">
        <v>652</v>
      </c>
    </row>
    <row x14ac:dyDescent="0.25" r="253" customHeight="1" ht="18.75">
      <c r="A253" s="7">
        <v>1</v>
      </c>
      <c r="B253" s="1" t="s">
        <v>440</v>
      </c>
      <c r="C253" s="1" t="s">
        <v>834</v>
      </c>
      <c r="D253" s="7">
        <v>13</v>
      </c>
      <c r="E253" s="7">
        <v>15</v>
      </c>
      <c r="F253" s="7">
        <v>28</v>
      </c>
      <c r="G253" s="1" t="s">
        <v>652</v>
      </c>
    </row>
    <row x14ac:dyDescent="0.25" r="254" customHeight="1" ht="18.75">
      <c r="A254" s="7">
        <v>1</v>
      </c>
      <c r="B254" s="1" t="s">
        <v>440</v>
      </c>
      <c r="C254" s="1" t="s">
        <v>835</v>
      </c>
      <c r="D254" s="7">
        <v>5</v>
      </c>
      <c r="E254" s="7">
        <v>4</v>
      </c>
      <c r="F254" s="7">
        <v>9</v>
      </c>
      <c r="G254" s="1" t="s">
        <v>652</v>
      </c>
    </row>
    <row x14ac:dyDescent="0.25" r="255" customHeight="1" ht="18.75">
      <c r="A255" s="7">
        <v>1</v>
      </c>
      <c r="B255" s="1" t="s">
        <v>350</v>
      </c>
      <c r="C255" s="1" t="s">
        <v>836</v>
      </c>
      <c r="D255" s="7">
        <v>15</v>
      </c>
      <c r="E255" s="7">
        <v>26</v>
      </c>
      <c r="F255" s="7">
        <v>41</v>
      </c>
      <c r="G255" s="1" t="s">
        <v>652</v>
      </c>
    </row>
    <row x14ac:dyDescent="0.25" r="256" customHeight="1" ht="18.75">
      <c r="A256" s="7">
        <v>1</v>
      </c>
      <c r="B256" s="1" t="s">
        <v>352</v>
      </c>
      <c r="C256" s="1" t="s">
        <v>837</v>
      </c>
      <c r="D256" s="7">
        <v>3</v>
      </c>
      <c r="E256" s="7">
        <v>0</v>
      </c>
      <c r="F256" s="7">
        <v>3</v>
      </c>
      <c r="G256" s="1" t="s">
        <v>652</v>
      </c>
    </row>
    <row x14ac:dyDescent="0.25" r="257" customHeight="1" ht="18.75">
      <c r="A257" s="7">
        <v>1</v>
      </c>
      <c r="B257" s="1" t="s">
        <v>444</v>
      </c>
      <c r="C257" s="1" t="s">
        <v>708</v>
      </c>
      <c r="D257" s="7">
        <v>1</v>
      </c>
      <c r="E257" s="7">
        <v>1</v>
      </c>
      <c r="F257" s="7">
        <v>2</v>
      </c>
      <c r="G257" s="1" t="s">
        <v>652</v>
      </c>
    </row>
    <row x14ac:dyDescent="0.25" r="258" customHeight="1" ht="18.75">
      <c r="A258" s="7">
        <v>1</v>
      </c>
      <c r="B258" s="1" t="s">
        <v>444</v>
      </c>
      <c r="C258" s="1" t="s">
        <v>838</v>
      </c>
      <c r="D258" s="7">
        <v>10</v>
      </c>
      <c r="E258" s="7">
        <v>10</v>
      </c>
      <c r="F258" s="7">
        <v>20</v>
      </c>
      <c r="G258" s="1" t="s">
        <v>652</v>
      </c>
    </row>
    <row x14ac:dyDescent="0.25" r="259" customHeight="1" ht="18.75">
      <c r="A259" s="7">
        <v>1</v>
      </c>
      <c r="B259" s="1" t="s">
        <v>444</v>
      </c>
      <c r="C259" s="1" t="s">
        <v>839</v>
      </c>
      <c r="D259" s="7">
        <v>2</v>
      </c>
      <c r="E259" s="7">
        <v>1</v>
      </c>
      <c r="F259" s="7">
        <v>3</v>
      </c>
      <c r="G259" s="1" t="s">
        <v>652</v>
      </c>
    </row>
    <row x14ac:dyDescent="0.25" r="260" customHeight="1" ht="18.75">
      <c r="A260" s="7">
        <v>1</v>
      </c>
      <c r="B260" s="1" t="s">
        <v>470</v>
      </c>
      <c r="C260" s="1" t="s">
        <v>840</v>
      </c>
      <c r="D260" s="7">
        <v>2</v>
      </c>
      <c r="E260" s="7">
        <v>2</v>
      </c>
      <c r="F260" s="7">
        <v>4</v>
      </c>
      <c r="G260" s="1" t="s">
        <v>652</v>
      </c>
    </row>
    <row x14ac:dyDescent="0.25" r="261" customHeight="1" ht="18.75">
      <c r="A261" s="7">
        <v>1</v>
      </c>
      <c r="B261" s="1" t="s">
        <v>470</v>
      </c>
      <c r="C261" s="1" t="s">
        <v>841</v>
      </c>
      <c r="D261" s="7">
        <v>2</v>
      </c>
      <c r="E261" s="7">
        <v>2</v>
      </c>
      <c r="F261" s="7">
        <v>4</v>
      </c>
      <c r="G261" s="1" t="s">
        <v>652</v>
      </c>
    </row>
    <row x14ac:dyDescent="0.25" r="262" customHeight="1" ht="18.75">
      <c r="A262" s="7">
        <v>1</v>
      </c>
      <c r="B262" s="1" t="s">
        <v>470</v>
      </c>
      <c r="C262" s="1" t="s">
        <v>842</v>
      </c>
      <c r="D262" s="7">
        <v>4</v>
      </c>
      <c r="E262" s="7">
        <v>4</v>
      </c>
      <c r="F262" s="7">
        <v>8</v>
      </c>
      <c r="G262" s="1" t="s">
        <v>652</v>
      </c>
    </row>
    <row x14ac:dyDescent="0.25" r="263" customHeight="1" ht="18.75">
      <c r="A263" s="7">
        <v>1</v>
      </c>
      <c r="B263" s="1" t="s">
        <v>470</v>
      </c>
      <c r="C263" s="1" t="s">
        <v>843</v>
      </c>
      <c r="D263" s="7">
        <v>2</v>
      </c>
      <c r="E263" s="7">
        <v>2</v>
      </c>
      <c r="F263" s="7">
        <v>4</v>
      </c>
      <c r="G263" s="1" t="s">
        <v>652</v>
      </c>
    </row>
    <row x14ac:dyDescent="0.25" r="264" customHeight="1" ht="18.75">
      <c r="A264" s="7">
        <v>1</v>
      </c>
      <c r="B264" s="1" t="s">
        <v>470</v>
      </c>
      <c r="C264" s="1" t="s">
        <v>844</v>
      </c>
      <c r="D264" s="7">
        <v>2</v>
      </c>
      <c r="E264" s="7">
        <v>2</v>
      </c>
      <c r="F264" s="7">
        <v>4</v>
      </c>
      <c r="G264" s="1" t="s">
        <v>652</v>
      </c>
    </row>
    <row x14ac:dyDescent="0.25" r="265" customHeight="1" ht="18.75">
      <c r="A265" s="7">
        <v>1</v>
      </c>
      <c r="B265" s="1" t="s">
        <v>491</v>
      </c>
      <c r="C265" s="1" t="s">
        <v>845</v>
      </c>
      <c r="D265" s="7">
        <v>2</v>
      </c>
      <c r="E265" s="7">
        <v>2</v>
      </c>
      <c r="F265" s="7">
        <v>4</v>
      </c>
      <c r="G265" s="1" t="s">
        <v>652</v>
      </c>
    </row>
    <row x14ac:dyDescent="0.25" r="266" customHeight="1" ht="18.75">
      <c r="A266" s="7">
        <v>1</v>
      </c>
      <c r="B266" s="1" t="s">
        <v>491</v>
      </c>
      <c r="C266" s="1" t="s">
        <v>846</v>
      </c>
      <c r="D266" s="7">
        <v>4</v>
      </c>
      <c r="E266" s="7">
        <v>2</v>
      </c>
      <c r="F266" s="7">
        <v>6</v>
      </c>
      <c r="G266" s="1" t="s">
        <v>652</v>
      </c>
    </row>
    <row x14ac:dyDescent="0.25" r="267" customHeight="1" ht="18.75">
      <c r="A267" s="7">
        <v>1</v>
      </c>
      <c r="B267" s="1" t="s">
        <v>491</v>
      </c>
      <c r="C267" s="1" t="s">
        <v>847</v>
      </c>
      <c r="D267" s="7">
        <v>4</v>
      </c>
      <c r="E267" s="7">
        <v>3</v>
      </c>
      <c r="F267" s="7">
        <v>7</v>
      </c>
      <c r="G267" s="1" t="s">
        <v>652</v>
      </c>
    </row>
    <row x14ac:dyDescent="0.25" r="268" customHeight="1" ht="18.75">
      <c r="A268" s="7">
        <v>1</v>
      </c>
      <c r="B268" s="1" t="s">
        <v>491</v>
      </c>
      <c r="C268" s="1" t="s">
        <v>848</v>
      </c>
      <c r="D268" s="7">
        <v>2</v>
      </c>
      <c r="E268" s="7">
        <v>2</v>
      </c>
      <c r="F268" s="7">
        <v>4</v>
      </c>
      <c r="G268" s="1" t="s">
        <v>652</v>
      </c>
    </row>
    <row x14ac:dyDescent="0.25" r="269" customHeight="1" ht="18.75">
      <c r="A269" s="7">
        <v>1</v>
      </c>
      <c r="B269" s="1" t="s">
        <v>491</v>
      </c>
      <c r="C269" s="1" t="s">
        <v>849</v>
      </c>
      <c r="D269" s="7">
        <v>1</v>
      </c>
      <c r="E269" s="7">
        <v>1</v>
      </c>
      <c r="F269" s="7">
        <v>2</v>
      </c>
      <c r="G269" s="1" t="s">
        <v>652</v>
      </c>
    </row>
    <row x14ac:dyDescent="0.25" r="270" customHeight="1" ht="18.75">
      <c r="A270" s="7">
        <v>1</v>
      </c>
      <c r="B270" s="1" t="s">
        <v>491</v>
      </c>
      <c r="C270" s="1" t="s">
        <v>766</v>
      </c>
      <c r="D270" s="7">
        <v>2</v>
      </c>
      <c r="E270" s="7">
        <v>0</v>
      </c>
      <c r="F270" s="7">
        <v>2</v>
      </c>
      <c r="G270" s="1" t="s">
        <v>652</v>
      </c>
    </row>
    <row x14ac:dyDescent="0.25" r="271" customHeight="1" ht="18.75">
      <c r="A271" s="7">
        <v>1</v>
      </c>
      <c r="B271" s="1" t="s">
        <v>491</v>
      </c>
      <c r="C271" s="1" t="s">
        <v>850</v>
      </c>
      <c r="D271" s="7">
        <v>1</v>
      </c>
      <c r="E271" s="7">
        <v>1</v>
      </c>
      <c r="F271" s="7">
        <v>2</v>
      </c>
      <c r="G271" s="1" t="s">
        <v>652</v>
      </c>
    </row>
    <row x14ac:dyDescent="0.25" r="272" customHeight="1" ht="18.75">
      <c r="A272" s="7">
        <v>1</v>
      </c>
      <c r="B272" s="1" t="s">
        <v>491</v>
      </c>
      <c r="C272" s="1" t="s">
        <v>851</v>
      </c>
      <c r="D272" s="7">
        <v>1</v>
      </c>
      <c r="E272" s="7">
        <v>1</v>
      </c>
      <c r="F272" s="7">
        <v>2</v>
      </c>
      <c r="G272" s="1" t="s">
        <v>652</v>
      </c>
    </row>
    <row x14ac:dyDescent="0.25" r="273" customHeight="1" ht="18.75">
      <c r="A273" s="7">
        <v>1</v>
      </c>
      <c r="B273" s="1" t="s">
        <v>491</v>
      </c>
      <c r="C273" s="1" t="s">
        <v>852</v>
      </c>
      <c r="D273" s="7">
        <v>5</v>
      </c>
      <c r="E273" s="7">
        <v>6</v>
      </c>
      <c r="F273" s="7">
        <v>11</v>
      </c>
      <c r="G273" s="1" t="s">
        <v>652</v>
      </c>
    </row>
    <row x14ac:dyDescent="0.25" r="274" customHeight="1" ht="18.75">
      <c r="A274" s="7">
        <v>1</v>
      </c>
      <c r="B274" s="1" t="s">
        <v>491</v>
      </c>
      <c r="C274" s="1" t="s">
        <v>853</v>
      </c>
      <c r="D274" s="7">
        <v>1</v>
      </c>
      <c r="E274" s="7">
        <v>2</v>
      </c>
      <c r="F274" s="7">
        <v>3</v>
      </c>
      <c r="G274" s="1" t="s">
        <v>652</v>
      </c>
    </row>
    <row x14ac:dyDescent="0.25" r="275" customHeight="1" ht="18.75">
      <c r="A275" s="7">
        <v>1</v>
      </c>
      <c r="B275" s="1" t="s">
        <v>491</v>
      </c>
      <c r="C275" s="1" t="s">
        <v>854</v>
      </c>
      <c r="D275" s="7">
        <v>4</v>
      </c>
      <c r="E275" s="7">
        <v>8</v>
      </c>
      <c r="F275" s="7">
        <v>12</v>
      </c>
      <c r="G275" s="1" t="s">
        <v>652</v>
      </c>
    </row>
    <row x14ac:dyDescent="0.25" r="276" customHeight="1" ht="18.75">
      <c r="A276" s="7">
        <v>1</v>
      </c>
      <c r="B276" s="1" t="s">
        <v>491</v>
      </c>
      <c r="C276" s="1" t="s">
        <v>807</v>
      </c>
      <c r="D276" s="7">
        <v>2</v>
      </c>
      <c r="E276" s="7">
        <v>4</v>
      </c>
      <c r="F276" s="7">
        <v>6</v>
      </c>
      <c r="G276" s="1" t="s">
        <v>652</v>
      </c>
    </row>
    <row x14ac:dyDescent="0.25" r="277" customHeight="1" ht="18.75">
      <c r="A277" s="7">
        <v>1</v>
      </c>
      <c r="B277" s="1" t="s">
        <v>437</v>
      </c>
      <c r="C277" s="1" t="s">
        <v>702</v>
      </c>
      <c r="D277" s="7">
        <v>19</v>
      </c>
      <c r="E277" s="7">
        <v>7</v>
      </c>
      <c r="F277" s="7">
        <v>26</v>
      </c>
      <c r="G277" s="1" t="s">
        <v>652</v>
      </c>
    </row>
    <row x14ac:dyDescent="0.25" r="278" customHeight="1" ht="18.75">
      <c r="A278" s="7">
        <v>1</v>
      </c>
      <c r="B278" s="1" t="s">
        <v>437</v>
      </c>
      <c r="C278" s="1" t="s">
        <v>704</v>
      </c>
      <c r="D278" s="7">
        <v>1</v>
      </c>
      <c r="E278" s="7">
        <v>10</v>
      </c>
      <c r="F278" s="7">
        <v>11</v>
      </c>
      <c r="G278" s="1" t="s">
        <v>652</v>
      </c>
    </row>
    <row x14ac:dyDescent="0.25" r="279" customHeight="1" ht="18.75">
      <c r="A279" s="7">
        <v>1</v>
      </c>
      <c r="B279" s="1" t="s">
        <v>437</v>
      </c>
      <c r="C279" s="1" t="s">
        <v>737</v>
      </c>
      <c r="D279" s="7">
        <v>0</v>
      </c>
      <c r="E279" s="7">
        <v>2</v>
      </c>
      <c r="F279" s="7">
        <v>2</v>
      </c>
      <c r="G279" s="1" t="s">
        <v>652</v>
      </c>
    </row>
    <row x14ac:dyDescent="0.25" r="280" customHeight="1" ht="18.75">
      <c r="A280" s="7">
        <v>1</v>
      </c>
      <c r="B280" s="1" t="s">
        <v>354</v>
      </c>
      <c r="C280" s="1" t="s">
        <v>681</v>
      </c>
      <c r="D280" s="7">
        <v>2</v>
      </c>
      <c r="E280" s="7">
        <v>2</v>
      </c>
      <c r="F280" s="7">
        <v>4</v>
      </c>
      <c r="G280" s="1" t="s">
        <v>652</v>
      </c>
    </row>
    <row x14ac:dyDescent="0.25" r="281" customHeight="1" ht="18.75">
      <c r="A281" s="7">
        <v>1</v>
      </c>
      <c r="B281" s="1" t="s">
        <v>485</v>
      </c>
      <c r="C281" s="1" t="s">
        <v>741</v>
      </c>
      <c r="D281" s="7">
        <v>0</v>
      </c>
      <c r="E281" s="7">
        <v>4</v>
      </c>
      <c r="F281" s="7">
        <v>4</v>
      </c>
      <c r="G281" s="1" t="s">
        <v>652</v>
      </c>
    </row>
    <row x14ac:dyDescent="0.25" r="282" customHeight="1" ht="18.75">
      <c r="A282" s="7">
        <v>1</v>
      </c>
      <c r="B282" s="1" t="s">
        <v>485</v>
      </c>
      <c r="C282" s="1" t="s">
        <v>742</v>
      </c>
      <c r="D282" s="7">
        <v>2</v>
      </c>
      <c r="E282" s="7">
        <v>13</v>
      </c>
      <c r="F282" s="7">
        <v>15</v>
      </c>
      <c r="G282" s="1" t="s">
        <v>652</v>
      </c>
    </row>
    <row x14ac:dyDescent="0.25" r="283" customHeight="1" ht="18.75">
      <c r="A283" s="7">
        <v>1</v>
      </c>
      <c r="B283" s="1" t="s">
        <v>485</v>
      </c>
      <c r="C283" s="1" t="s">
        <v>743</v>
      </c>
      <c r="D283" s="7">
        <v>0</v>
      </c>
      <c r="E283" s="7">
        <v>16</v>
      </c>
      <c r="F283" s="7">
        <v>16</v>
      </c>
      <c r="G283" s="1" t="s">
        <v>652</v>
      </c>
    </row>
    <row x14ac:dyDescent="0.25" r="284" customHeight="1" ht="18.75">
      <c r="A284" s="7">
        <v>1</v>
      </c>
      <c r="B284" s="1" t="s">
        <v>485</v>
      </c>
      <c r="C284" s="1" t="s">
        <v>744</v>
      </c>
      <c r="D284" s="7">
        <v>0</v>
      </c>
      <c r="E284" s="7">
        <v>2</v>
      </c>
      <c r="F284" s="7">
        <v>2</v>
      </c>
      <c r="G284" s="1" t="s">
        <v>652</v>
      </c>
    </row>
    <row x14ac:dyDescent="0.25" r="285" customHeight="1" ht="18.75">
      <c r="A285" s="7">
        <v>1</v>
      </c>
      <c r="B285" s="1" t="s">
        <v>485</v>
      </c>
      <c r="C285" s="1" t="s">
        <v>745</v>
      </c>
      <c r="D285" s="7">
        <v>0</v>
      </c>
      <c r="E285" s="7">
        <v>1</v>
      </c>
      <c r="F285" s="7">
        <v>1</v>
      </c>
      <c r="G285" s="1" t="s">
        <v>652</v>
      </c>
    </row>
    <row x14ac:dyDescent="0.25" r="286" customHeight="1" ht="18.75">
      <c r="A286" s="7">
        <v>1</v>
      </c>
      <c r="B286" s="1" t="s">
        <v>485</v>
      </c>
      <c r="C286" s="1" t="s">
        <v>746</v>
      </c>
      <c r="D286" s="7">
        <v>0</v>
      </c>
      <c r="E286" s="7">
        <v>4</v>
      </c>
      <c r="F286" s="7">
        <v>4</v>
      </c>
      <c r="G286" s="1" t="s">
        <v>652</v>
      </c>
    </row>
    <row x14ac:dyDescent="0.25" r="287" customHeight="1" ht="18.75">
      <c r="A287" s="7">
        <v>1</v>
      </c>
      <c r="B287" s="1" t="s">
        <v>485</v>
      </c>
      <c r="C287" s="1" t="s">
        <v>747</v>
      </c>
      <c r="D287" s="7">
        <v>1</v>
      </c>
      <c r="E287" s="7">
        <v>2</v>
      </c>
      <c r="F287" s="7">
        <v>3</v>
      </c>
      <c r="G287" s="1" t="s">
        <v>652</v>
      </c>
    </row>
    <row x14ac:dyDescent="0.25" r="288" customHeight="1" ht="18.75">
      <c r="A288" s="7">
        <v>1</v>
      </c>
      <c r="B288" s="1" t="s">
        <v>485</v>
      </c>
      <c r="C288" s="1" t="s">
        <v>748</v>
      </c>
      <c r="D288" s="7">
        <v>0</v>
      </c>
      <c r="E288" s="7">
        <v>29</v>
      </c>
      <c r="F288" s="7">
        <v>29</v>
      </c>
      <c r="G288" s="1" t="s">
        <v>652</v>
      </c>
    </row>
    <row x14ac:dyDescent="0.25" r="289" customHeight="1" ht="18.75">
      <c r="A289" s="7">
        <v>1</v>
      </c>
      <c r="B289" s="1" t="s">
        <v>451</v>
      </c>
      <c r="C289" s="1" t="s">
        <v>790</v>
      </c>
      <c r="D289" s="7">
        <v>1</v>
      </c>
      <c r="E289" s="7">
        <v>0</v>
      </c>
      <c r="F289" s="7">
        <v>1</v>
      </c>
      <c r="G289" s="1" t="s">
        <v>652</v>
      </c>
    </row>
    <row x14ac:dyDescent="0.25" r="290" customHeight="1" ht="18.75">
      <c r="A290" s="7">
        <v>1</v>
      </c>
      <c r="B290" s="1" t="s">
        <v>451</v>
      </c>
      <c r="C290" s="1" t="s">
        <v>855</v>
      </c>
      <c r="D290" s="7">
        <v>28</v>
      </c>
      <c r="E290" s="7">
        <v>0</v>
      </c>
      <c r="F290" s="7">
        <v>28</v>
      </c>
      <c r="G290" s="1" t="s">
        <v>721</v>
      </c>
    </row>
    <row x14ac:dyDescent="0.25" r="291" customHeight="1" ht="18.75">
      <c r="A291" s="7">
        <v>1</v>
      </c>
      <c r="B291" s="1" t="s">
        <v>451</v>
      </c>
      <c r="C291" s="1" t="s">
        <v>791</v>
      </c>
      <c r="D291" s="7">
        <v>1</v>
      </c>
      <c r="E291" s="7">
        <v>1</v>
      </c>
      <c r="F291" s="7">
        <v>2</v>
      </c>
      <c r="G291" s="1" t="s">
        <v>652</v>
      </c>
    </row>
    <row x14ac:dyDescent="0.25" r="292" customHeight="1" ht="18.75">
      <c r="A292" s="7">
        <v>1</v>
      </c>
      <c r="B292" s="1" t="s">
        <v>356</v>
      </c>
      <c r="C292" s="1" t="s">
        <v>856</v>
      </c>
      <c r="D292" s="7">
        <v>12</v>
      </c>
      <c r="E292" s="7">
        <v>0</v>
      </c>
      <c r="F292" s="7">
        <v>12</v>
      </c>
      <c r="G292" s="1" t="s">
        <v>652</v>
      </c>
    </row>
    <row x14ac:dyDescent="0.25" r="293" customHeight="1" ht="18.75">
      <c r="A293" s="7">
        <v>1</v>
      </c>
      <c r="B293" s="1" t="s">
        <v>448</v>
      </c>
      <c r="C293" s="1" t="s">
        <v>676</v>
      </c>
      <c r="D293" s="7">
        <v>1</v>
      </c>
      <c r="E293" s="7">
        <v>1</v>
      </c>
      <c r="F293" s="7">
        <v>2</v>
      </c>
      <c r="G293" s="1" t="s">
        <v>652</v>
      </c>
    </row>
    <row x14ac:dyDescent="0.25" r="294" customHeight="1" ht="18.75">
      <c r="A294" s="7">
        <v>1</v>
      </c>
      <c r="B294" s="1" t="s">
        <v>448</v>
      </c>
      <c r="C294" s="1" t="s">
        <v>677</v>
      </c>
      <c r="D294" s="7">
        <v>6</v>
      </c>
      <c r="E294" s="7">
        <v>0</v>
      </c>
      <c r="F294" s="7">
        <v>6</v>
      </c>
      <c r="G294" s="1" t="s">
        <v>652</v>
      </c>
    </row>
    <row x14ac:dyDescent="0.25" r="295" customHeight="1" ht="18.75">
      <c r="A295" s="7">
        <v>1</v>
      </c>
      <c r="B295" s="1" t="s">
        <v>448</v>
      </c>
      <c r="C295" s="1" t="s">
        <v>680</v>
      </c>
      <c r="D295" s="7">
        <v>1</v>
      </c>
      <c r="E295" s="7">
        <v>1</v>
      </c>
      <c r="F295" s="7">
        <v>2</v>
      </c>
      <c r="G295" s="1" t="s">
        <v>652</v>
      </c>
    </row>
    <row x14ac:dyDescent="0.25" r="296" customHeight="1" ht="18.75">
      <c r="A296" s="7">
        <v>1</v>
      </c>
      <c r="B296" s="1" t="s">
        <v>358</v>
      </c>
      <c r="C296" s="1" t="s">
        <v>665</v>
      </c>
      <c r="D296" s="7">
        <v>47</v>
      </c>
      <c r="E296" s="7">
        <v>12</v>
      </c>
      <c r="F296" s="7">
        <v>59</v>
      </c>
      <c r="G296" s="1" t="s">
        <v>652</v>
      </c>
    </row>
    <row x14ac:dyDescent="0.25" r="297" customHeight="1" ht="18.75">
      <c r="A297" s="7">
        <v>1</v>
      </c>
      <c r="B297" s="1" t="s">
        <v>417</v>
      </c>
      <c r="C297" s="1" t="s">
        <v>857</v>
      </c>
      <c r="D297" s="7">
        <v>26</v>
      </c>
      <c r="E297" s="7">
        <v>0</v>
      </c>
      <c r="F297" s="7">
        <v>26</v>
      </c>
      <c r="G297" s="1" t="s">
        <v>652</v>
      </c>
    </row>
    <row x14ac:dyDescent="0.25" r="298" customHeight="1" ht="18.75">
      <c r="A298" s="7">
        <v>1</v>
      </c>
      <c r="B298" s="1" t="s">
        <v>417</v>
      </c>
      <c r="C298" s="1" t="s">
        <v>858</v>
      </c>
      <c r="D298" s="7">
        <v>1</v>
      </c>
      <c r="E298" s="7">
        <v>12</v>
      </c>
      <c r="F298" s="7">
        <v>13</v>
      </c>
      <c r="G298" s="1" t="s">
        <v>652</v>
      </c>
    </row>
    <row x14ac:dyDescent="0.25" r="299" customHeight="1" ht="18.75">
      <c r="A299" s="7">
        <v>1</v>
      </c>
      <c r="B299" s="1" t="s">
        <v>446</v>
      </c>
      <c r="C299" s="1" t="s">
        <v>859</v>
      </c>
      <c r="D299" s="7">
        <v>11</v>
      </c>
      <c r="E299" s="7">
        <v>0</v>
      </c>
      <c r="F299" s="7">
        <v>11</v>
      </c>
      <c r="G299" s="1" t="s">
        <v>721</v>
      </c>
    </row>
    <row x14ac:dyDescent="0.25" r="300" customHeight="1" ht="18.75">
      <c r="A300" s="7">
        <v>1</v>
      </c>
      <c r="B300" s="1" t="s">
        <v>446</v>
      </c>
      <c r="C300" s="1" t="s">
        <v>860</v>
      </c>
      <c r="D300" s="7">
        <v>1</v>
      </c>
      <c r="E300" s="7">
        <v>1</v>
      </c>
      <c r="F300" s="7">
        <v>2</v>
      </c>
      <c r="G300" s="1" t="s">
        <v>652</v>
      </c>
    </row>
    <row x14ac:dyDescent="0.25" r="301" customHeight="1" ht="18.75">
      <c r="A301" s="7">
        <v>1</v>
      </c>
      <c r="B301" s="1" t="s">
        <v>446</v>
      </c>
      <c r="C301" s="1" t="s">
        <v>861</v>
      </c>
      <c r="D301" s="7">
        <v>1</v>
      </c>
      <c r="E301" s="7">
        <v>0</v>
      </c>
      <c r="F301" s="7">
        <v>1</v>
      </c>
      <c r="G301" s="1" t="s">
        <v>652</v>
      </c>
    </row>
    <row x14ac:dyDescent="0.25" r="302" customHeight="1" ht="18.75">
      <c r="A302" s="7">
        <v>1</v>
      </c>
      <c r="B302" s="1" t="s">
        <v>433</v>
      </c>
      <c r="C302" s="1" t="s">
        <v>862</v>
      </c>
      <c r="D302" s="7">
        <v>7</v>
      </c>
      <c r="E302" s="7">
        <v>4</v>
      </c>
      <c r="F302" s="7">
        <v>11</v>
      </c>
      <c r="G302" s="1" t="s">
        <v>652</v>
      </c>
    </row>
    <row x14ac:dyDescent="0.25" r="303" customHeight="1" ht="18.75">
      <c r="A303" s="7">
        <v>1</v>
      </c>
      <c r="B303" s="1" t="s">
        <v>433</v>
      </c>
      <c r="C303" s="1" t="s">
        <v>788</v>
      </c>
      <c r="D303" s="7">
        <v>120</v>
      </c>
      <c r="E303" s="7">
        <v>42</v>
      </c>
      <c r="F303" s="7">
        <v>162</v>
      </c>
      <c r="G303" s="1" t="s">
        <v>652</v>
      </c>
    </row>
    <row x14ac:dyDescent="0.25" r="304" customHeight="1" ht="18.75">
      <c r="A304" s="7">
        <v>1</v>
      </c>
      <c r="B304" s="1" t="s">
        <v>360</v>
      </c>
      <c r="C304" s="1" t="s">
        <v>863</v>
      </c>
      <c r="D304" s="7">
        <v>2</v>
      </c>
      <c r="E304" s="7">
        <v>1</v>
      </c>
      <c r="F304" s="7">
        <v>3</v>
      </c>
      <c r="G304" s="1" t="s">
        <v>652</v>
      </c>
    </row>
    <row x14ac:dyDescent="0.25" r="305" customHeight="1" ht="18.75">
      <c r="A305" s="7">
        <v>1</v>
      </c>
      <c r="B305" s="1" t="s">
        <v>362</v>
      </c>
      <c r="C305" s="1" t="s">
        <v>837</v>
      </c>
      <c r="D305" s="7">
        <v>3</v>
      </c>
      <c r="E305" s="7">
        <v>0</v>
      </c>
      <c r="F305" s="7">
        <v>3</v>
      </c>
      <c r="G305" s="1" t="s">
        <v>652</v>
      </c>
    </row>
    <row x14ac:dyDescent="0.25" r="306" customHeight="1" ht="18.75">
      <c r="A306" s="7">
        <v>1</v>
      </c>
      <c r="B306" s="1" t="s">
        <v>482</v>
      </c>
      <c r="C306" s="1" t="s">
        <v>700</v>
      </c>
      <c r="D306" s="7">
        <v>24</v>
      </c>
      <c r="E306" s="7">
        <v>10</v>
      </c>
      <c r="F306" s="7">
        <v>34</v>
      </c>
      <c r="G306" s="1" t="s">
        <v>652</v>
      </c>
    </row>
    <row x14ac:dyDescent="0.25" r="307" customHeight="1" ht="18.75">
      <c r="A307" s="7">
        <v>1</v>
      </c>
      <c r="B307" s="1" t="s">
        <v>482</v>
      </c>
      <c r="C307" s="1" t="s">
        <v>701</v>
      </c>
      <c r="D307" s="7">
        <v>9</v>
      </c>
      <c r="E307" s="7">
        <v>9</v>
      </c>
      <c r="F307" s="7">
        <v>18</v>
      </c>
      <c r="G307" s="1" t="s">
        <v>652</v>
      </c>
    </row>
    <row x14ac:dyDescent="0.25" r="308" customHeight="1" ht="18.75">
      <c r="A308" s="7">
        <v>1</v>
      </c>
      <c r="B308" s="1" t="s">
        <v>482</v>
      </c>
      <c r="C308" s="1" t="s">
        <v>702</v>
      </c>
      <c r="D308" s="7">
        <v>3</v>
      </c>
      <c r="E308" s="7">
        <v>16</v>
      </c>
      <c r="F308" s="7">
        <v>19</v>
      </c>
      <c r="G308" s="1" t="s">
        <v>652</v>
      </c>
    </row>
    <row x14ac:dyDescent="0.25" r="309" customHeight="1" ht="18.75">
      <c r="A309" s="7">
        <v>1</v>
      </c>
      <c r="B309" s="1" t="s">
        <v>482</v>
      </c>
      <c r="C309" s="1" t="s">
        <v>703</v>
      </c>
      <c r="D309" s="7">
        <v>5</v>
      </c>
      <c r="E309" s="7">
        <v>4</v>
      </c>
      <c r="F309" s="7">
        <v>9</v>
      </c>
      <c r="G309" s="1" t="s">
        <v>652</v>
      </c>
    </row>
    <row x14ac:dyDescent="0.25" r="310" customHeight="1" ht="18.75">
      <c r="A310" s="7">
        <v>1</v>
      </c>
      <c r="B310" s="1" t="s">
        <v>482</v>
      </c>
      <c r="C310" s="1" t="s">
        <v>682</v>
      </c>
      <c r="D310" s="7">
        <v>4</v>
      </c>
      <c r="E310" s="7">
        <v>7</v>
      </c>
      <c r="F310" s="7">
        <v>11</v>
      </c>
      <c r="G310" s="1" t="s">
        <v>652</v>
      </c>
    </row>
    <row x14ac:dyDescent="0.25" r="311" customHeight="1" ht="18.75">
      <c r="A311" s="7">
        <v>1</v>
      </c>
      <c r="B311" s="1" t="s">
        <v>482</v>
      </c>
      <c r="C311" s="1" t="s">
        <v>704</v>
      </c>
      <c r="D311" s="7">
        <v>4</v>
      </c>
      <c r="E311" s="7">
        <v>2</v>
      </c>
      <c r="F311" s="7">
        <v>6</v>
      </c>
      <c r="G311" s="1" t="s">
        <v>652</v>
      </c>
    </row>
    <row x14ac:dyDescent="0.25" r="312" customHeight="1" ht="18.75">
      <c r="A312" s="7">
        <v>1</v>
      </c>
      <c r="B312" s="1" t="s">
        <v>482</v>
      </c>
      <c r="C312" s="1" t="s">
        <v>684</v>
      </c>
      <c r="D312" s="7">
        <v>6</v>
      </c>
      <c r="E312" s="7">
        <v>4</v>
      </c>
      <c r="F312" s="7">
        <v>10</v>
      </c>
      <c r="G312" s="1" t="s">
        <v>652</v>
      </c>
    </row>
    <row x14ac:dyDescent="0.25" r="313" customHeight="1" ht="18.75">
      <c r="A313" s="7">
        <v>1</v>
      </c>
      <c r="B313" s="1" t="s">
        <v>441</v>
      </c>
      <c r="C313" s="1" t="s">
        <v>790</v>
      </c>
      <c r="D313" s="7">
        <v>5</v>
      </c>
      <c r="E313" s="7">
        <v>0</v>
      </c>
      <c r="F313" s="7">
        <v>5</v>
      </c>
      <c r="G313" s="1" t="s">
        <v>652</v>
      </c>
    </row>
    <row x14ac:dyDescent="0.25" r="314" customHeight="1" ht="18.75">
      <c r="A314" s="7">
        <v>1</v>
      </c>
      <c r="B314" s="1" t="s">
        <v>441</v>
      </c>
      <c r="C314" s="1" t="s">
        <v>864</v>
      </c>
      <c r="D314" s="7">
        <v>26</v>
      </c>
      <c r="E314" s="7">
        <v>0</v>
      </c>
      <c r="F314" s="7">
        <v>26</v>
      </c>
      <c r="G314" s="1" t="s">
        <v>721</v>
      </c>
    </row>
    <row x14ac:dyDescent="0.25" r="315" customHeight="1" ht="18.75">
      <c r="A315" s="7">
        <v>1</v>
      </c>
      <c r="B315" s="1" t="s">
        <v>441</v>
      </c>
      <c r="C315" s="1" t="s">
        <v>865</v>
      </c>
      <c r="D315" s="7">
        <v>2</v>
      </c>
      <c r="E315" s="7">
        <v>1</v>
      </c>
      <c r="F315" s="7">
        <v>3</v>
      </c>
      <c r="G315" s="1" t="s">
        <v>652</v>
      </c>
    </row>
    <row x14ac:dyDescent="0.25" r="316" customHeight="1" ht="18.75">
      <c r="A316" s="7">
        <v>1</v>
      </c>
      <c r="B316" s="1" t="s">
        <v>421</v>
      </c>
      <c r="C316" s="1" t="s">
        <v>866</v>
      </c>
      <c r="D316" s="7">
        <v>4</v>
      </c>
      <c r="E316" s="7">
        <v>0</v>
      </c>
      <c r="F316" s="7">
        <v>4</v>
      </c>
      <c r="G316" s="1" t="s">
        <v>721</v>
      </c>
    </row>
    <row x14ac:dyDescent="0.25" r="317" customHeight="1" ht="18.75">
      <c r="A317" s="7">
        <v>1</v>
      </c>
      <c r="B317" s="1" t="s">
        <v>421</v>
      </c>
      <c r="C317" s="1" t="s">
        <v>867</v>
      </c>
      <c r="D317" s="7">
        <v>3</v>
      </c>
      <c r="E317" s="7">
        <v>0</v>
      </c>
      <c r="F317" s="7">
        <v>3</v>
      </c>
      <c r="G317" s="1" t="s">
        <v>652</v>
      </c>
    </row>
    <row x14ac:dyDescent="0.25" r="318" customHeight="1" ht="18.75">
      <c r="A318" s="7">
        <v>1</v>
      </c>
      <c r="B318" s="1" t="s">
        <v>364</v>
      </c>
      <c r="C318" s="1" t="s">
        <v>868</v>
      </c>
      <c r="D318" s="7">
        <v>3</v>
      </c>
      <c r="E318" s="7">
        <v>4</v>
      </c>
      <c r="F318" s="7">
        <v>7</v>
      </c>
      <c r="G318" s="1" t="s">
        <v>652</v>
      </c>
    </row>
    <row x14ac:dyDescent="0.25" r="319" customHeight="1" ht="18.75">
      <c r="A319" s="7">
        <v>1</v>
      </c>
      <c r="B319" s="1" t="s">
        <v>478</v>
      </c>
      <c r="C319" s="1" t="s">
        <v>694</v>
      </c>
      <c r="D319" s="7">
        <v>171</v>
      </c>
      <c r="E319" s="7">
        <v>124</v>
      </c>
      <c r="F319" s="7">
        <v>295</v>
      </c>
      <c r="G319" s="1" t="s">
        <v>652</v>
      </c>
    </row>
    <row x14ac:dyDescent="0.25" r="320" customHeight="1" ht="18.75">
      <c r="A320" s="7">
        <v>1</v>
      </c>
      <c r="B320" s="1" t="s">
        <v>478</v>
      </c>
      <c r="C320" s="1" t="s">
        <v>695</v>
      </c>
      <c r="D320" s="7">
        <v>63</v>
      </c>
      <c r="E320" s="7">
        <v>39</v>
      </c>
      <c r="F320" s="7">
        <v>102</v>
      </c>
      <c r="G320" s="1" t="s">
        <v>652</v>
      </c>
    </row>
    <row x14ac:dyDescent="0.25" r="321" customHeight="1" ht="18.75">
      <c r="A321" s="7">
        <v>1</v>
      </c>
      <c r="B321" s="1" t="s">
        <v>478</v>
      </c>
      <c r="C321" s="1" t="s">
        <v>696</v>
      </c>
      <c r="D321" s="7">
        <v>81</v>
      </c>
      <c r="E321" s="7">
        <v>49</v>
      </c>
      <c r="F321" s="7">
        <v>130</v>
      </c>
      <c r="G321" s="1" t="s">
        <v>652</v>
      </c>
    </row>
    <row x14ac:dyDescent="0.25" r="322" customHeight="1" ht="18.75">
      <c r="A322" s="7">
        <v>1</v>
      </c>
      <c r="B322" s="1" t="s">
        <v>478</v>
      </c>
      <c r="C322" s="1" t="s">
        <v>697</v>
      </c>
      <c r="D322" s="7">
        <v>87</v>
      </c>
      <c r="E322" s="7">
        <v>49</v>
      </c>
      <c r="F322" s="7">
        <v>136</v>
      </c>
      <c r="G322" s="1" t="s">
        <v>652</v>
      </c>
    </row>
    <row x14ac:dyDescent="0.25" r="323" customHeight="1" ht="18.75">
      <c r="A323" s="7">
        <v>1</v>
      </c>
      <c r="B323" s="1" t="s">
        <v>478</v>
      </c>
      <c r="C323" s="1" t="s">
        <v>698</v>
      </c>
      <c r="D323" s="7">
        <v>144</v>
      </c>
      <c r="E323" s="7">
        <v>107</v>
      </c>
      <c r="F323" s="7">
        <v>251</v>
      </c>
      <c r="G323" s="1" t="s">
        <v>652</v>
      </c>
    </row>
    <row x14ac:dyDescent="0.25" r="324" customHeight="1" ht="18.75">
      <c r="A324" s="7">
        <v>1</v>
      </c>
      <c r="B324" s="1" t="s">
        <v>478</v>
      </c>
      <c r="C324" s="1" t="s">
        <v>699</v>
      </c>
      <c r="D324" s="7">
        <v>8</v>
      </c>
      <c r="E324" s="7">
        <v>0</v>
      </c>
      <c r="F324" s="7">
        <v>8</v>
      </c>
      <c r="G324" s="1" t="s">
        <v>652</v>
      </c>
    </row>
    <row x14ac:dyDescent="0.25" r="325" customHeight="1" ht="18.75">
      <c r="A325" s="7">
        <v>1</v>
      </c>
      <c r="B325" s="1" t="s">
        <v>366</v>
      </c>
      <c r="C325" s="1" t="s">
        <v>869</v>
      </c>
      <c r="D325" s="7">
        <v>4</v>
      </c>
      <c r="E325" s="7">
        <v>0</v>
      </c>
      <c r="F325" s="7">
        <v>4</v>
      </c>
      <c r="G325" s="1" t="s">
        <v>652</v>
      </c>
    </row>
    <row x14ac:dyDescent="0.25" r="326" customHeight="1" ht="18.75">
      <c r="A326" s="7">
        <v>1</v>
      </c>
      <c r="B326" s="1" t="s">
        <v>368</v>
      </c>
      <c r="C326" s="1" t="s">
        <v>870</v>
      </c>
      <c r="D326" s="7">
        <v>9</v>
      </c>
      <c r="E326" s="7">
        <v>2</v>
      </c>
      <c r="F326" s="7">
        <v>11</v>
      </c>
      <c r="G326" s="1" t="s">
        <v>652</v>
      </c>
    </row>
    <row x14ac:dyDescent="0.25" r="327" customHeight="1" ht="18.75">
      <c r="A327" s="7">
        <v>1</v>
      </c>
      <c r="B327" s="1" t="s">
        <v>370</v>
      </c>
      <c r="C327" s="1" t="s">
        <v>871</v>
      </c>
      <c r="D327" s="7">
        <v>6</v>
      </c>
      <c r="E327" s="7">
        <v>2</v>
      </c>
      <c r="F327" s="7">
        <v>8</v>
      </c>
      <c r="G327" s="1" t="s">
        <v>652</v>
      </c>
    </row>
    <row x14ac:dyDescent="0.25" r="328" customHeight="1" ht="18.75">
      <c r="A328" s="7">
        <v>1</v>
      </c>
      <c r="B328" s="1" t="s">
        <v>489</v>
      </c>
      <c r="C328" s="1" t="s">
        <v>700</v>
      </c>
      <c r="D328" s="7">
        <v>25</v>
      </c>
      <c r="E328" s="7">
        <v>10</v>
      </c>
      <c r="F328" s="7">
        <v>35</v>
      </c>
      <c r="G328" s="1" t="s">
        <v>652</v>
      </c>
    </row>
    <row x14ac:dyDescent="0.25" r="329" customHeight="1" ht="18.75">
      <c r="A329" s="7">
        <v>1</v>
      </c>
      <c r="B329" s="1" t="s">
        <v>489</v>
      </c>
      <c r="C329" s="1" t="s">
        <v>701</v>
      </c>
      <c r="D329" s="7">
        <v>9</v>
      </c>
      <c r="E329" s="7">
        <v>9</v>
      </c>
      <c r="F329" s="7">
        <v>18</v>
      </c>
      <c r="G329" s="1" t="s">
        <v>652</v>
      </c>
    </row>
    <row x14ac:dyDescent="0.25" r="330" customHeight="1" ht="18.75">
      <c r="A330" s="7">
        <v>1</v>
      </c>
      <c r="B330" s="1" t="s">
        <v>489</v>
      </c>
      <c r="C330" s="1" t="s">
        <v>702</v>
      </c>
      <c r="D330" s="7">
        <v>5</v>
      </c>
      <c r="E330" s="7">
        <v>16</v>
      </c>
      <c r="F330" s="7">
        <v>21</v>
      </c>
      <c r="G330" s="1" t="s">
        <v>652</v>
      </c>
    </row>
    <row x14ac:dyDescent="0.25" r="331" customHeight="1" ht="18.75">
      <c r="A331" s="7">
        <v>1</v>
      </c>
      <c r="B331" s="1" t="s">
        <v>489</v>
      </c>
      <c r="C331" s="1" t="s">
        <v>703</v>
      </c>
      <c r="D331" s="7">
        <v>5</v>
      </c>
      <c r="E331" s="7">
        <v>4</v>
      </c>
      <c r="F331" s="7">
        <v>9</v>
      </c>
      <c r="G331" s="1" t="s">
        <v>652</v>
      </c>
    </row>
    <row x14ac:dyDescent="0.25" r="332" customHeight="1" ht="18.75">
      <c r="A332" s="7">
        <v>1</v>
      </c>
      <c r="B332" s="1" t="s">
        <v>489</v>
      </c>
      <c r="C332" s="1" t="s">
        <v>682</v>
      </c>
      <c r="D332" s="7">
        <v>9</v>
      </c>
      <c r="E332" s="7">
        <v>6</v>
      </c>
      <c r="F332" s="7">
        <v>15</v>
      </c>
      <c r="G332" s="1" t="s">
        <v>652</v>
      </c>
    </row>
    <row x14ac:dyDescent="0.25" r="333" customHeight="1" ht="18.75">
      <c r="A333" s="7">
        <v>1</v>
      </c>
      <c r="B333" s="1" t="s">
        <v>489</v>
      </c>
      <c r="C333" s="1" t="s">
        <v>683</v>
      </c>
      <c r="D333" s="7">
        <v>6</v>
      </c>
      <c r="E333" s="7">
        <v>6</v>
      </c>
      <c r="F333" s="7">
        <v>12</v>
      </c>
      <c r="G333" s="1" t="s">
        <v>652</v>
      </c>
    </row>
    <row x14ac:dyDescent="0.25" r="334" customHeight="1" ht="18.75">
      <c r="A334" s="7">
        <v>1</v>
      </c>
      <c r="B334" s="1" t="s">
        <v>489</v>
      </c>
      <c r="C334" s="1" t="s">
        <v>704</v>
      </c>
      <c r="D334" s="7">
        <v>4</v>
      </c>
      <c r="E334" s="7">
        <v>2</v>
      </c>
      <c r="F334" s="7">
        <v>6</v>
      </c>
      <c r="G334" s="1" t="s">
        <v>652</v>
      </c>
    </row>
    <row x14ac:dyDescent="0.25" r="335" customHeight="1" ht="18.75">
      <c r="A335" s="7">
        <v>1</v>
      </c>
      <c r="B335" s="1" t="s">
        <v>489</v>
      </c>
      <c r="C335" s="1" t="s">
        <v>684</v>
      </c>
      <c r="D335" s="7">
        <v>16</v>
      </c>
      <c r="E335" s="7">
        <v>6</v>
      </c>
      <c r="F335" s="7">
        <v>22</v>
      </c>
      <c r="G335" s="1" t="s">
        <v>652</v>
      </c>
    </row>
    <row x14ac:dyDescent="0.25" r="336" customHeight="1" ht="18.75">
      <c r="A336" s="7">
        <v>1</v>
      </c>
      <c r="B336" s="1" t="s">
        <v>489</v>
      </c>
      <c r="C336" s="1" t="s">
        <v>771</v>
      </c>
      <c r="D336" s="7">
        <v>0</v>
      </c>
      <c r="E336" s="7">
        <v>4</v>
      </c>
      <c r="F336" s="7">
        <v>4</v>
      </c>
      <c r="G336" s="1" t="s">
        <v>652</v>
      </c>
    </row>
    <row x14ac:dyDescent="0.25" r="337" customHeight="1" ht="18.75">
      <c r="A337" s="7">
        <v>1</v>
      </c>
      <c r="B337" s="1" t="s">
        <v>489</v>
      </c>
      <c r="C337" s="1" t="s">
        <v>705</v>
      </c>
      <c r="D337" s="7">
        <v>28</v>
      </c>
      <c r="E337" s="7">
        <v>21</v>
      </c>
      <c r="F337" s="7">
        <v>49</v>
      </c>
      <c r="G337" s="1" t="s">
        <v>652</v>
      </c>
    </row>
    <row x14ac:dyDescent="0.25" r="338" customHeight="1" ht="18.75">
      <c r="A338" s="7">
        <v>1</v>
      </c>
      <c r="B338" s="1" t="s">
        <v>489</v>
      </c>
      <c r="C338" s="1" t="s">
        <v>706</v>
      </c>
      <c r="D338" s="7">
        <v>1</v>
      </c>
      <c r="E338" s="7">
        <v>1</v>
      </c>
      <c r="F338" s="7">
        <v>2</v>
      </c>
      <c r="G338" s="1" t="s">
        <v>652</v>
      </c>
    </row>
    <row x14ac:dyDescent="0.25" r="339" customHeight="1" ht="18.75">
      <c r="A339" s="7">
        <v>1</v>
      </c>
      <c r="B339" s="1" t="s">
        <v>489</v>
      </c>
      <c r="C339" s="1" t="s">
        <v>685</v>
      </c>
      <c r="D339" s="7">
        <v>6</v>
      </c>
      <c r="E339" s="7">
        <v>3</v>
      </c>
      <c r="F339" s="7">
        <v>9</v>
      </c>
      <c r="G339" s="1" t="s">
        <v>652</v>
      </c>
    </row>
    <row x14ac:dyDescent="0.25" r="340" customHeight="1" ht="18.75">
      <c r="A340" s="7">
        <v>1</v>
      </c>
      <c r="B340" s="1" t="s">
        <v>465</v>
      </c>
      <c r="C340" s="1" t="s">
        <v>872</v>
      </c>
      <c r="D340" s="7">
        <v>1</v>
      </c>
      <c r="E340" s="7">
        <v>1</v>
      </c>
      <c r="F340" s="7">
        <v>2</v>
      </c>
      <c r="G340" s="1" t="s">
        <v>652</v>
      </c>
    </row>
    <row x14ac:dyDescent="0.25" r="341" customHeight="1" ht="18.75">
      <c r="A341" s="7">
        <v>1</v>
      </c>
      <c r="B341" s="1" t="s">
        <v>465</v>
      </c>
      <c r="C341" s="1" t="s">
        <v>681</v>
      </c>
      <c r="D341" s="7">
        <v>1</v>
      </c>
      <c r="E341" s="7">
        <v>1</v>
      </c>
      <c r="F341" s="7">
        <v>2</v>
      </c>
      <c r="G341" s="1" t="s">
        <v>652</v>
      </c>
    </row>
    <row x14ac:dyDescent="0.25" r="342" customHeight="1" ht="18.75">
      <c r="A342" s="7">
        <v>1</v>
      </c>
      <c r="B342" s="1" t="s">
        <v>465</v>
      </c>
      <c r="C342" s="1" t="s">
        <v>873</v>
      </c>
      <c r="D342" s="7">
        <v>1</v>
      </c>
      <c r="E342" s="7">
        <v>2</v>
      </c>
      <c r="F342" s="7">
        <v>3</v>
      </c>
      <c r="G342" s="1" t="s">
        <v>652</v>
      </c>
    </row>
    <row x14ac:dyDescent="0.25" r="343" customHeight="1" ht="18.75">
      <c r="A343" s="7">
        <v>1</v>
      </c>
      <c r="B343" s="1" t="s">
        <v>465</v>
      </c>
      <c r="C343" s="1" t="s">
        <v>661</v>
      </c>
      <c r="D343" s="7">
        <v>60</v>
      </c>
      <c r="E343" s="7">
        <v>29</v>
      </c>
      <c r="F343" s="7">
        <v>89</v>
      </c>
      <c r="G343" s="1" t="s">
        <v>652</v>
      </c>
    </row>
    <row x14ac:dyDescent="0.25" r="344" customHeight="1" ht="18.75">
      <c r="A344" s="7">
        <v>1</v>
      </c>
      <c r="B344" s="1" t="s">
        <v>465</v>
      </c>
      <c r="C344" s="1" t="s">
        <v>805</v>
      </c>
      <c r="D344" s="7">
        <v>29</v>
      </c>
      <c r="E344" s="7">
        <v>3</v>
      </c>
      <c r="F344" s="7">
        <v>32</v>
      </c>
      <c r="G344" s="1" t="s">
        <v>652</v>
      </c>
    </row>
    <row x14ac:dyDescent="0.25" r="345" customHeight="1" ht="18.75">
      <c r="A345" s="7">
        <v>1</v>
      </c>
      <c r="B345" s="1" t="s">
        <v>479</v>
      </c>
      <c r="C345" s="1" t="s">
        <v>694</v>
      </c>
      <c r="D345" s="7">
        <v>171</v>
      </c>
      <c r="E345" s="7">
        <v>124</v>
      </c>
      <c r="F345" s="7">
        <v>295</v>
      </c>
      <c r="G345" s="1" t="s">
        <v>652</v>
      </c>
    </row>
    <row x14ac:dyDescent="0.25" r="346" customHeight="1" ht="18.75">
      <c r="A346" s="7">
        <v>1</v>
      </c>
      <c r="B346" s="1" t="s">
        <v>479</v>
      </c>
      <c r="C346" s="1" t="s">
        <v>695</v>
      </c>
      <c r="D346" s="7">
        <v>49</v>
      </c>
      <c r="E346" s="7">
        <v>37</v>
      </c>
      <c r="F346" s="7">
        <v>86</v>
      </c>
      <c r="G346" s="1" t="s">
        <v>652</v>
      </c>
    </row>
    <row x14ac:dyDescent="0.25" r="347" customHeight="1" ht="18.75">
      <c r="A347" s="7">
        <v>1</v>
      </c>
      <c r="B347" s="1" t="s">
        <v>479</v>
      </c>
      <c r="C347" s="1" t="s">
        <v>696</v>
      </c>
      <c r="D347" s="7">
        <v>81</v>
      </c>
      <c r="E347" s="7">
        <v>49</v>
      </c>
      <c r="F347" s="7">
        <v>130</v>
      </c>
      <c r="G347" s="1" t="s">
        <v>652</v>
      </c>
    </row>
    <row x14ac:dyDescent="0.25" r="348" customHeight="1" ht="18.75">
      <c r="A348" s="7">
        <v>1</v>
      </c>
      <c r="B348" s="1" t="s">
        <v>479</v>
      </c>
      <c r="C348" s="1" t="s">
        <v>697</v>
      </c>
      <c r="D348" s="7">
        <v>87</v>
      </c>
      <c r="E348" s="7">
        <v>49</v>
      </c>
      <c r="F348" s="7">
        <v>136</v>
      </c>
      <c r="G348" s="1" t="s">
        <v>652</v>
      </c>
    </row>
    <row x14ac:dyDescent="0.25" r="349" customHeight="1" ht="18.75">
      <c r="A349" s="7">
        <v>1</v>
      </c>
      <c r="B349" s="1" t="s">
        <v>479</v>
      </c>
      <c r="C349" s="1" t="s">
        <v>698</v>
      </c>
      <c r="D349" s="7">
        <v>146</v>
      </c>
      <c r="E349" s="7">
        <v>108</v>
      </c>
      <c r="F349" s="7">
        <v>254</v>
      </c>
      <c r="G349" s="1" t="s">
        <v>652</v>
      </c>
    </row>
    <row x14ac:dyDescent="0.25" r="350" customHeight="1" ht="18.75">
      <c r="A350" s="7">
        <v>1</v>
      </c>
      <c r="B350" s="1" t="s">
        <v>479</v>
      </c>
      <c r="C350" s="1" t="s">
        <v>699</v>
      </c>
      <c r="D350" s="7">
        <v>8</v>
      </c>
      <c r="E350" s="7">
        <v>0</v>
      </c>
      <c r="F350" s="7">
        <v>8</v>
      </c>
      <c r="G350" s="1" t="s">
        <v>652</v>
      </c>
    </row>
    <row x14ac:dyDescent="0.25" r="351" customHeight="1" ht="18.75">
      <c r="A351" s="7">
        <v>1</v>
      </c>
      <c r="B351" s="1" t="s">
        <v>372</v>
      </c>
      <c r="C351" s="1" t="s">
        <v>788</v>
      </c>
      <c r="D351" s="7">
        <v>13</v>
      </c>
      <c r="E351" s="7">
        <v>3</v>
      </c>
      <c r="F351" s="7">
        <v>16</v>
      </c>
      <c r="G351" s="1" t="s">
        <v>652</v>
      </c>
    </row>
    <row x14ac:dyDescent="0.25" r="352" customHeight="1" ht="18.75">
      <c r="A352" s="7">
        <v>1</v>
      </c>
      <c r="B352" s="1" t="s">
        <v>374</v>
      </c>
      <c r="C352" s="1" t="s">
        <v>689</v>
      </c>
      <c r="D352" s="7">
        <v>10</v>
      </c>
      <c r="E352" s="7">
        <v>13</v>
      </c>
      <c r="F352" s="7">
        <v>23</v>
      </c>
      <c r="G352" s="1" t="s">
        <v>652</v>
      </c>
    </row>
    <row x14ac:dyDescent="0.25" r="353" customHeight="1" ht="18.75">
      <c r="A353" s="7">
        <v>1</v>
      </c>
      <c r="B353" s="1" t="s">
        <v>477</v>
      </c>
      <c r="C353" s="1" t="s">
        <v>874</v>
      </c>
      <c r="D353" s="7">
        <v>1</v>
      </c>
      <c r="E353" s="7">
        <v>4</v>
      </c>
      <c r="F353" s="7">
        <v>5</v>
      </c>
      <c r="G353" s="1" t="s">
        <v>652</v>
      </c>
    </row>
    <row x14ac:dyDescent="0.25" r="354" customHeight="1" ht="18.75">
      <c r="A354" s="7">
        <v>1</v>
      </c>
      <c r="B354" s="1" t="s">
        <v>477</v>
      </c>
      <c r="C354" s="1" t="s">
        <v>875</v>
      </c>
      <c r="D354" s="7">
        <v>7</v>
      </c>
      <c r="E354" s="7">
        <v>6</v>
      </c>
      <c r="F354" s="7">
        <v>13</v>
      </c>
      <c r="G354" s="1" t="s">
        <v>652</v>
      </c>
    </row>
    <row x14ac:dyDescent="0.25" r="355" customHeight="1" ht="18.75">
      <c r="A355" s="7">
        <v>1</v>
      </c>
      <c r="B355" s="1" t="s">
        <v>477</v>
      </c>
      <c r="C355" s="1" t="s">
        <v>876</v>
      </c>
      <c r="D355" s="7">
        <v>1</v>
      </c>
      <c r="E355" s="7">
        <v>3</v>
      </c>
      <c r="F355" s="7">
        <v>4</v>
      </c>
      <c r="G355" s="1" t="s">
        <v>652</v>
      </c>
    </row>
    <row x14ac:dyDescent="0.25" r="356" customHeight="1" ht="18.75">
      <c r="A356" s="7">
        <v>1</v>
      </c>
      <c r="B356" s="1" t="s">
        <v>477</v>
      </c>
      <c r="C356" s="1" t="s">
        <v>877</v>
      </c>
      <c r="D356" s="7">
        <v>1</v>
      </c>
      <c r="E356" s="7">
        <v>3</v>
      </c>
      <c r="F356" s="7">
        <v>4</v>
      </c>
      <c r="G356" s="1" t="s">
        <v>652</v>
      </c>
    </row>
    <row x14ac:dyDescent="0.25" r="357" customHeight="1" ht="18.75">
      <c r="A357" s="7">
        <v>1</v>
      </c>
      <c r="B357" s="1" t="s">
        <v>477</v>
      </c>
      <c r="C357" s="1" t="s">
        <v>878</v>
      </c>
      <c r="D357" s="7">
        <v>0</v>
      </c>
      <c r="E357" s="7">
        <v>2</v>
      </c>
      <c r="F357" s="7">
        <v>2</v>
      </c>
      <c r="G357" s="1" t="s">
        <v>652</v>
      </c>
    </row>
    <row x14ac:dyDescent="0.25" r="358" customHeight="1" ht="18.75">
      <c r="A358" s="7">
        <v>1</v>
      </c>
      <c r="B358" s="1" t="s">
        <v>477</v>
      </c>
      <c r="C358" s="1" t="s">
        <v>879</v>
      </c>
      <c r="D358" s="7">
        <v>1</v>
      </c>
      <c r="E358" s="7">
        <v>4</v>
      </c>
      <c r="F358" s="7">
        <v>5</v>
      </c>
      <c r="G358" s="1" t="s">
        <v>652</v>
      </c>
    </row>
    <row x14ac:dyDescent="0.25" r="359" customHeight="1" ht="18.75">
      <c r="A359" s="7">
        <v>1</v>
      </c>
      <c r="B359" s="1" t="s">
        <v>376</v>
      </c>
      <c r="C359" s="1" t="s">
        <v>753</v>
      </c>
      <c r="D359" s="7">
        <v>12</v>
      </c>
      <c r="E359" s="7">
        <v>6</v>
      </c>
      <c r="F359" s="7">
        <v>18</v>
      </c>
      <c r="G359" s="1" t="s">
        <v>652</v>
      </c>
    </row>
    <row x14ac:dyDescent="0.25" r="360" customHeight="1" ht="18.75">
      <c r="A360" s="7">
        <v>1</v>
      </c>
      <c r="B360" s="1" t="s">
        <v>453</v>
      </c>
      <c r="C360" s="1" t="s">
        <v>768</v>
      </c>
      <c r="D360" s="7">
        <v>2</v>
      </c>
      <c r="E360" s="7">
        <v>0</v>
      </c>
      <c r="F360" s="7">
        <v>2</v>
      </c>
      <c r="G360" s="1" t="s">
        <v>652</v>
      </c>
    </row>
    <row x14ac:dyDescent="0.25" r="361" customHeight="1" ht="18.75">
      <c r="A361" s="7">
        <v>1</v>
      </c>
      <c r="B361" s="1" t="s">
        <v>453</v>
      </c>
      <c r="C361" s="1" t="s">
        <v>880</v>
      </c>
      <c r="D361" s="7">
        <v>6</v>
      </c>
      <c r="E361" s="7">
        <v>0</v>
      </c>
      <c r="F361" s="7">
        <v>6</v>
      </c>
      <c r="G361" s="1" t="s">
        <v>652</v>
      </c>
    </row>
    <row x14ac:dyDescent="0.25" r="362" customHeight="1" ht="18.75">
      <c r="A362" s="7">
        <v>1</v>
      </c>
      <c r="B362" s="1" t="s">
        <v>453</v>
      </c>
      <c r="C362" s="1" t="s">
        <v>881</v>
      </c>
      <c r="D362" s="7">
        <v>11</v>
      </c>
      <c r="E362" s="7">
        <v>0</v>
      </c>
      <c r="F362" s="7">
        <v>11</v>
      </c>
      <c r="G362" s="1" t="s">
        <v>652</v>
      </c>
    </row>
    <row x14ac:dyDescent="0.25" r="363" customHeight="1" ht="18.75">
      <c r="A363" s="7">
        <v>1</v>
      </c>
      <c r="B363" s="1" t="s">
        <v>453</v>
      </c>
      <c r="C363" s="1" t="s">
        <v>808</v>
      </c>
      <c r="D363" s="7">
        <v>1</v>
      </c>
      <c r="E363" s="7">
        <v>1</v>
      </c>
      <c r="F363" s="7">
        <v>2</v>
      </c>
      <c r="G363" s="1" t="s">
        <v>652</v>
      </c>
    </row>
    <row x14ac:dyDescent="0.25" r="364" customHeight="1" ht="18.75">
      <c r="A364" s="7">
        <v>1</v>
      </c>
      <c r="B364" s="1" t="s">
        <v>378</v>
      </c>
      <c r="C364" s="1" t="s">
        <v>758</v>
      </c>
      <c r="D364" s="7">
        <v>10</v>
      </c>
      <c r="E364" s="7">
        <v>0</v>
      </c>
      <c r="F364" s="7">
        <v>10</v>
      </c>
      <c r="G364" s="1" t="s">
        <v>652</v>
      </c>
    </row>
    <row x14ac:dyDescent="0.25" r="365" customHeight="1" ht="18.75">
      <c r="A365" s="7">
        <v>1</v>
      </c>
      <c r="B365" s="1" t="s">
        <v>414</v>
      </c>
      <c r="C365" s="1" t="s">
        <v>882</v>
      </c>
      <c r="D365" s="7">
        <v>12</v>
      </c>
      <c r="E365" s="7">
        <v>23</v>
      </c>
      <c r="F365" s="7">
        <v>35</v>
      </c>
      <c r="G365" s="1" t="s">
        <v>652</v>
      </c>
    </row>
    <row x14ac:dyDescent="0.25" r="366" customHeight="1" ht="18.75">
      <c r="A366" s="7">
        <v>1</v>
      </c>
      <c r="B366" s="1" t="s">
        <v>414</v>
      </c>
      <c r="C366" s="1" t="s">
        <v>883</v>
      </c>
      <c r="D366" s="7">
        <v>3</v>
      </c>
      <c r="E366" s="7">
        <v>2</v>
      </c>
      <c r="F366" s="7">
        <v>5</v>
      </c>
      <c r="G366" s="1" t="s">
        <v>652</v>
      </c>
    </row>
    <row x14ac:dyDescent="0.25" r="367" customHeight="1" ht="18.75">
      <c r="A367" s="7">
        <v>1</v>
      </c>
      <c r="B367" s="1" t="s">
        <v>380</v>
      </c>
      <c r="C367" s="1" t="s">
        <v>884</v>
      </c>
      <c r="D367" s="7">
        <v>2</v>
      </c>
      <c r="E367" s="7">
        <v>2</v>
      </c>
      <c r="F367" s="7">
        <v>4</v>
      </c>
      <c r="G367" s="1" t="s">
        <v>652</v>
      </c>
    </row>
    <row x14ac:dyDescent="0.25" r="368" customHeight="1" ht="18.75">
      <c r="A368" s="7">
        <v>1</v>
      </c>
      <c r="B368" s="1" t="s">
        <v>382</v>
      </c>
      <c r="C368" s="1" t="s">
        <v>885</v>
      </c>
      <c r="D368" s="7">
        <v>135</v>
      </c>
      <c r="E368" s="7">
        <v>69</v>
      </c>
      <c r="F368" s="7">
        <v>204</v>
      </c>
      <c r="G368" s="1" t="s">
        <v>652</v>
      </c>
    </row>
    <row x14ac:dyDescent="0.25" r="369" customHeight="1" ht="18.75">
      <c r="A369" s="7">
        <v>1</v>
      </c>
      <c r="B369" s="1" t="s">
        <v>466</v>
      </c>
      <c r="C369" s="1" t="s">
        <v>886</v>
      </c>
      <c r="D369" s="7">
        <v>1</v>
      </c>
      <c r="E369" s="7">
        <v>6</v>
      </c>
      <c r="F369" s="7">
        <v>7</v>
      </c>
      <c r="G369" s="1" t="s">
        <v>652</v>
      </c>
    </row>
    <row x14ac:dyDescent="0.25" r="370" customHeight="1" ht="18.75">
      <c r="A370" s="7">
        <v>1</v>
      </c>
      <c r="B370" s="1" t="s">
        <v>466</v>
      </c>
      <c r="C370" s="1" t="s">
        <v>887</v>
      </c>
      <c r="D370" s="7">
        <v>2</v>
      </c>
      <c r="E370" s="7">
        <v>2</v>
      </c>
      <c r="F370" s="7">
        <v>4</v>
      </c>
      <c r="G370" s="1" t="s">
        <v>652</v>
      </c>
    </row>
    <row x14ac:dyDescent="0.25" r="371" customHeight="1" ht="18.75">
      <c r="A371" s="7">
        <v>1</v>
      </c>
      <c r="B371" s="1" t="s">
        <v>466</v>
      </c>
      <c r="C371" s="1" t="s">
        <v>888</v>
      </c>
      <c r="D371" s="7">
        <v>1</v>
      </c>
      <c r="E371" s="7">
        <v>16</v>
      </c>
      <c r="F371" s="7">
        <v>17</v>
      </c>
      <c r="G371" s="1" t="s">
        <v>652</v>
      </c>
    </row>
    <row x14ac:dyDescent="0.25" r="372" customHeight="1" ht="18.75">
      <c r="A372" s="7">
        <v>1</v>
      </c>
      <c r="B372" s="1" t="s">
        <v>466</v>
      </c>
      <c r="C372" s="1" t="s">
        <v>889</v>
      </c>
      <c r="D372" s="7">
        <v>2</v>
      </c>
      <c r="E372" s="7">
        <v>5</v>
      </c>
      <c r="F372" s="7">
        <v>7</v>
      </c>
      <c r="G372" s="1" t="s">
        <v>652</v>
      </c>
    </row>
    <row x14ac:dyDescent="0.25" r="373" customHeight="1" ht="18.75">
      <c r="A373" s="7">
        <v>1</v>
      </c>
      <c r="B373" s="1" t="s">
        <v>466</v>
      </c>
      <c r="C373" s="1" t="s">
        <v>890</v>
      </c>
      <c r="D373" s="7">
        <v>3</v>
      </c>
      <c r="E373" s="7">
        <v>5</v>
      </c>
      <c r="F373" s="7">
        <v>8</v>
      </c>
      <c r="G373" s="1" t="s">
        <v>652</v>
      </c>
    </row>
    <row x14ac:dyDescent="0.25" r="374" customHeight="1" ht="18.75">
      <c r="A374" s="7">
        <v>1</v>
      </c>
      <c r="B374" s="1" t="s">
        <v>468</v>
      </c>
      <c r="C374" s="1" t="s">
        <v>891</v>
      </c>
      <c r="D374" s="7">
        <v>1</v>
      </c>
      <c r="E374" s="7">
        <v>1</v>
      </c>
      <c r="F374" s="7">
        <v>2</v>
      </c>
      <c r="G374" s="1" t="s">
        <v>652</v>
      </c>
    </row>
    <row x14ac:dyDescent="0.25" r="375" customHeight="1" ht="18.75">
      <c r="A375" s="7">
        <v>1</v>
      </c>
      <c r="B375" s="1" t="s">
        <v>468</v>
      </c>
      <c r="C375" s="1" t="s">
        <v>892</v>
      </c>
      <c r="D375" s="7">
        <v>14</v>
      </c>
      <c r="E375" s="7">
        <v>1</v>
      </c>
      <c r="F375" s="7">
        <v>15</v>
      </c>
      <c r="G375" s="1" t="s">
        <v>652</v>
      </c>
    </row>
    <row x14ac:dyDescent="0.25" r="376" customHeight="1" ht="18.75">
      <c r="A376" s="7">
        <v>1</v>
      </c>
      <c r="B376" s="1" t="s">
        <v>468</v>
      </c>
      <c r="C376" s="1" t="s">
        <v>893</v>
      </c>
      <c r="D376" s="7">
        <v>7</v>
      </c>
      <c r="E376" s="7">
        <v>5</v>
      </c>
      <c r="F376" s="7">
        <v>12</v>
      </c>
      <c r="G376" s="1" t="s">
        <v>652</v>
      </c>
    </row>
    <row x14ac:dyDescent="0.25" r="377" customHeight="1" ht="18.75">
      <c r="A377" s="7">
        <v>1</v>
      </c>
      <c r="B377" s="1" t="s">
        <v>468</v>
      </c>
      <c r="C377" s="1" t="s">
        <v>894</v>
      </c>
      <c r="D377" s="7">
        <v>9</v>
      </c>
      <c r="E377" s="7">
        <v>0</v>
      </c>
      <c r="F377" s="7">
        <v>9</v>
      </c>
      <c r="G377" s="1" t="s">
        <v>652</v>
      </c>
    </row>
    <row x14ac:dyDescent="0.25" r="378" customHeight="1" ht="18.75">
      <c r="A378" s="7">
        <v>1</v>
      </c>
      <c r="B378" s="1" t="s">
        <v>468</v>
      </c>
      <c r="C378" s="1" t="s">
        <v>895</v>
      </c>
      <c r="D378" s="7">
        <v>2</v>
      </c>
      <c r="E378" s="7">
        <v>2</v>
      </c>
      <c r="F378" s="7">
        <v>4</v>
      </c>
      <c r="G378" s="1" t="s">
        <v>652</v>
      </c>
    </row>
    <row x14ac:dyDescent="0.25" r="379" customHeight="1" ht="18.75">
      <c r="A379" s="7">
        <v>1</v>
      </c>
      <c r="B379" s="1" t="s">
        <v>384</v>
      </c>
      <c r="C379" s="1" t="s">
        <v>716</v>
      </c>
      <c r="D379" s="7">
        <v>10</v>
      </c>
      <c r="E379" s="7">
        <v>3</v>
      </c>
      <c r="F379" s="7">
        <v>13</v>
      </c>
      <c r="G379" s="1" t="s">
        <v>652</v>
      </c>
    </row>
    <row x14ac:dyDescent="0.25" r="380" customHeight="1" ht="18.75">
      <c r="A380" s="7">
        <v>1</v>
      </c>
      <c r="B380" s="1" t="s">
        <v>450</v>
      </c>
      <c r="C380" s="1" t="s">
        <v>861</v>
      </c>
      <c r="D380" s="7">
        <v>1</v>
      </c>
      <c r="E380" s="7">
        <v>0</v>
      </c>
      <c r="F380" s="7">
        <v>1</v>
      </c>
      <c r="G380" s="1" t="s">
        <v>652</v>
      </c>
    </row>
    <row x14ac:dyDescent="0.25" r="381" customHeight="1" ht="18.75">
      <c r="A381" s="7">
        <v>1</v>
      </c>
      <c r="B381" s="1" t="s">
        <v>450</v>
      </c>
      <c r="C381" s="1" t="s">
        <v>724</v>
      </c>
      <c r="D381" s="7">
        <v>11</v>
      </c>
      <c r="E381" s="7">
        <v>0</v>
      </c>
      <c r="F381" s="7">
        <v>11</v>
      </c>
      <c r="G381" s="1" t="s">
        <v>652</v>
      </c>
    </row>
    <row x14ac:dyDescent="0.25" r="382" customHeight="1" ht="18.75">
      <c r="A382" s="7">
        <v>1</v>
      </c>
      <c r="B382" s="1" t="s">
        <v>450</v>
      </c>
      <c r="C382" s="1" t="s">
        <v>896</v>
      </c>
      <c r="D382" s="7">
        <v>1</v>
      </c>
      <c r="E382" s="7">
        <v>0</v>
      </c>
      <c r="F382" s="7">
        <v>1</v>
      </c>
      <c r="G382" s="1" t="s">
        <v>652</v>
      </c>
    </row>
    <row x14ac:dyDescent="0.25" r="383" customHeight="1" ht="18.75">
      <c r="A383" s="7">
        <v>1</v>
      </c>
      <c r="B383" s="1" t="s">
        <v>386</v>
      </c>
      <c r="C383" s="1" t="s">
        <v>897</v>
      </c>
      <c r="D383" s="7">
        <v>2</v>
      </c>
      <c r="E383" s="7">
        <v>0</v>
      </c>
      <c r="F383" s="7">
        <v>2</v>
      </c>
      <c r="G383" s="1" t="s">
        <v>652</v>
      </c>
    </row>
    <row x14ac:dyDescent="0.25" r="384" customHeight="1" ht="18.75">
      <c r="A384" s="7">
        <v>1</v>
      </c>
      <c r="B384" s="1" t="s">
        <v>388</v>
      </c>
      <c r="C384" s="1" t="s">
        <v>898</v>
      </c>
      <c r="D384" s="7">
        <v>10</v>
      </c>
      <c r="E384" s="7">
        <v>4</v>
      </c>
      <c r="F384" s="7">
        <v>14</v>
      </c>
      <c r="G384" s="1" t="s">
        <v>652</v>
      </c>
    </row>
    <row x14ac:dyDescent="0.25" r="385" customHeight="1" ht="18.75">
      <c r="A385" s="7">
        <v>1</v>
      </c>
      <c r="B385" s="1" t="s">
        <v>390</v>
      </c>
      <c r="C385" s="1" t="s">
        <v>740</v>
      </c>
      <c r="D385" s="7">
        <v>8</v>
      </c>
      <c r="E385" s="7">
        <v>1</v>
      </c>
      <c r="F385" s="7">
        <v>9</v>
      </c>
      <c r="G385" s="1" t="s">
        <v>652</v>
      </c>
    </row>
    <row x14ac:dyDescent="0.25" r="386" customHeight="1" ht="18.75">
      <c r="A386" s="7">
        <v>1</v>
      </c>
      <c r="B386" s="1" t="s">
        <v>436</v>
      </c>
      <c r="C386" s="1" t="s">
        <v>693</v>
      </c>
      <c r="D386" s="7">
        <v>16</v>
      </c>
      <c r="E386" s="7">
        <v>14</v>
      </c>
      <c r="F386" s="7">
        <v>30</v>
      </c>
      <c r="G386" s="1" t="s">
        <v>652</v>
      </c>
    </row>
    <row x14ac:dyDescent="0.25" r="387" customHeight="1" ht="18.75">
      <c r="A387" s="7">
        <v>1</v>
      </c>
      <c r="B387" s="1" t="s">
        <v>436</v>
      </c>
      <c r="C387" s="1" t="s">
        <v>755</v>
      </c>
      <c r="D387" s="7">
        <v>20</v>
      </c>
      <c r="E387" s="7">
        <v>10</v>
      </c>
      <c r="F387" s="7">
        <v>30</v>
      </c>
      <c r="G387" s="1" t="s">
        <v>652</v>
      </c>
    </row>
    <row x14ac:dyDescent="0.25" r="388" customHeight="1" ht="18.75">
      <c r="A388" s="7">
        <v>1</v>
      </c>
      <c r="B388" s="1" t="s">
        <v>436</v>
      </c>
      <c r="C388" s="1" t="s">
        <v>899</v>
      </c>
      <c r="D388" s="7">
        <v>16</v>
      </c>
      <c r="E388" s="7">
        <v>3</v>
      </c>
      <c r="F388" s="7">
        <v>19</v>
      </c>
      <c r="G388" s="1" t="s">
        <v>652</v>
      </c>
    </row>
    <row x14ac:dyDescent="0.25" r="389" customHeight="1" ht="18.75">
      <c r="A389" s="7">
        <v>1</v>
      </c>
      <c r="B389" s="1" t="s">
        <v>490</v>
      </c>
      <c r="C389" s="1" t="s">
        <v>700</v>
      </c>
      <c r="D389" s="7">
        <v>25</v>
      </c>
      <c r="E389" s="7">
        <v>10</v>
      </c>
      <c r="F389" s="7">
        <v>35</v>
      </c>
      <c r="G389" s="1" t="s">
        <v>652</v>
      </c>
    </row>
    <row x14ac:dyDescent="0.25" r="390" customHeight="1" ht="18.75">
      <c r="A390" s="7">
        <v>1</v>
      </c>
      <c r="B390" s="1" t="s">
        <v>490</v>
      </c>
      <c r="C390" s="1" t="s">
        <v>701</v>
      </c>
      <c r="D390" s="7">
        <v>9</v>
      </c>
      <c r="E390" s="7">
        <v>9</v>
      </c>
      <c r="F390" s="7">
        <v>18</v>
      </c>
      <c r="G390" s="1" t="s">
        <v>652</v>
      </c>
    </row>
    <row x14ac:dyDescent="0.25" r="391" customHeight="1" ht="18.75">
      <c r="A391" s="7">
        <v>1</v>
      </c>
      <c r="B391" s="1" t="s">
        <v>490</v>
      </c>
      <c r="C391" s="1" t="s">
        <v>702</v>
      </c>
      <c r="D391" s="7">
        <v>4</v>
      </c>
      <c r="E391" s="7">
        <v>20</v>
      </c>
      <c r="F391" s="7">
        <v>24</v>
      </c>
      <c r="G391" s="1" t="s">
        <v>652</v>
      </c>
    </row>
    <row x14ac:dyDescent="0.25" r="392" customHeight="1" ht="18.75">
      <c r="A392" s="7">
        <v>1</v>
      </c>
      <c r="B392" s="1" t="s">
        <v>490</v>
      </c>
      <c r="C392" s="1" t="s">
        <v>703</v>
      </c>
      <c r="D392" s="7">
        <v>5</v>
      </c>
      <c r="E392" s="7">
        <v>4</v>
      </c>
      <c r="F392" s="7">
        <v>9</v>
      </c>
      <c r="G392" s="1" t="s">
        <v>652</v>
      </c>
    </row>
    <row x14ac:dyDescent="0.25" r="393" customHeight="1" ht="18.75">
      <c r="A393" s="7">
        <v>1</v>
      </c>
      <c r="B393" s="1" t="s">
        <v>490</v>
      </c>
      <c r="C393" s="1" t="s">
        <v>682</v>
      </c>
      <c r="D393" s="7">
        <v>9</v>
      </c>
      <c r="E393" s="7">
        <v>6</v>
      </c>
      <c r="F393" s="7">
        <v>15</v>
      </c>
      <c r="G393" s="1" t="s">
        <v>652</v>
      </c>
    </row>
    <row x14ac:dyDescent="0.25" r="394" customHeight="1" ht="18.75">
      <c r="A394" s="7">
        <v>1</v>
      </c>
      <c r="B394" s="1" t="s">
        <v>490</v>
      </c>
      <c r="C394" s="1" t="s">
        <v>683</v>
      </c>
      <c r="D394" s="7">
        <v>6</v>
      </c>
      <c r="E394" s="7">
        <v>6</v>
      </c>
      <c r="F394" s="7">
        <v>12</v>
      </c>
      <c r="G394" s="1" t="s">
        <v>652</v>
      </c>
    </row>
    <row x14ac:dyDescent="0.25" r="395" customHeight="1" ht="18.75">
      <c r="A395" s="7">
        <v>1</v>
      </c>
      <c r="B395" s="1" t="s">
        <v>490</v>
      </c>
      <c r="C395" s="1" t="s">
        <v>704</v>
      </c>
      <c r="D395" s="7">
        <v>4</v>
      </c>
      <c r="E395" s="7">
        <v>2</v>
      </c>
      <c r="F395" s="7">
        <v>6</v>
      </c>
      <c r="G395" s="1" t="s">
        <v>652</v>
      </c>
    </row>
    <row x14ac:dyDescent="0.25" r="396" customHeight="1" ht="18.75">
      <c r="A396" s="7">
        <v>1</v>
      </c>
      <c r="B396" s="1" t="s">
        <v>490</v>
      </c>
      <c r="C396" s="1" t="s">
        <v>684</v>
      </c>
      <c r="D396" s="7">
        <v>16</v>
      </c>
      <c r="E396" s="7">
        <v>6</v>
      </c>
      <c r="F396" s="7">
        <v>22</v>
      </c>
      <c r="G396" s="1" t="s">
        <v>652</v>
      </c>
    </row>
    <row x14ac:dyDescent="0.25" r="397" customHeight="1" ht="18.75">
      <c r="A397" s="7">
        <v>1</v>
      </c>
      <c r="B397" s="1" t="s">
        <v>490</v>
      </c>
      <c r="C397" s="1" t="s">
        <v>705</v>
      </c>
      <c r="D397" s="7">
        <v>31</v>
      </c>
      <c r="E397" s="7">
        <v>26</v>
      </c>
      <c r="F397" s="7">
        <v>57</v>
      </c>
      <c r="G397" s="1" t="s">
        <v>652</v>
      </c>
    </row>
    <row x14ac:dyDescent="0.25" r="398" customHeight="1" ht="18.75">
      <c r="A398" s="7">
        <v>1</v>
      </c>
      <c r="B398" s="1" t="s">
        <v>490</v>
      </c>
      <c r="C398" s="1" t="s">
        <v>706</v>
      </c>
      <c r="D398" s="7">
        <v>1</v>
      </c>
      <c r="E398" s="7">
        <v>1</v>
      </c>
      <c r="F398" s="7">
        <v>2</v>
      </c>
      <c r="G398" s="1" t="s">
        <v>652</v>
      </c>
    </row>
    <row x14ac:dyDescent="0.25" r="399" customHeight="1" ht="18.75">
      <c r="A399" s="7">
        <v>1</v>
      </c>
      <c r="B399" s="1" t="s">
        <v>490</v>
      </c>
      <c r="C399" s="1" t="s">
        <v>900</v>
      </c>
      <c r="D399" s="7">
        <v>1</v>
      </c>
      <c r="E399" s="7">
        <v>1</v>
      </c>
      <c r="F399" s="7">
        <v>2</v>
      </c>
      <c r="G399" s="1" t="s">
        <v>652</v>
      </c>
    </row>
    <row x14ac:dyDescent="0.25" r="400" customHeight="1" ht="18.75">
      <c r="A400" s="7">
        <v>1</v>
      </c>
      <c r="B400" s="1" t="s">
        <v>490</v>
      </c>
      <c r="C400" s="1" t="s">
        <v>685</v>
      </c>
      <c r="D400" s="7">
        <v>6</v>
      </c>
      <c r="E400" s="7">
        <v>3</v>
      </c>
      <c r="F400" s="7">
        <v>9</v>
      </c>
      <c r="G400" s="1" t="s">
        <v>652</v>
      </c>
    </row>
    <row x14ac:dyDescent="0.25" r="401" customHeight="1" ht="18.75">
      <c r="A401" s="7">
        <v>1</v>
      </c>
      <c r="B401" s="1" t="s">
        <v>392</v>
      </c>
      <c r="C401" s="1" t="s">
        <v>762</v>
      </c>
      <c r="D401" s="7">
        <v>3</v>
      </c>
      <c r="E401" s="7">
        <v>1</v>
      </c>
      <c r="F401" s="7">
        <v>4</v>
      </c>
      <c r="G401" s="1" t="s">
        <v>652</v>
      </c>
    </row>
    <row x14ac:dyDescent="0.25" r="402" customHeight="1" ht="18.75">
      <c r="A402" s="7">
        <v>1</v>
      </c>
      <c r="B402" s="1" t="s">
        <v>461</v>
      </c>
      <c r="C402" s="1" t="s">
        <v>901</v>
      </c>
      <c r="D402" s="7">
        <v>8</v>
      </c>
      <c r="E402" s="7">
        <v>0</v>
      </c>
      <c r="F402" s="7">
        <v>8</v>
      </c>
      <c r="G402" s="1" t="s">
        <v>721</v>
      </c>
    </row>
    <row x14ac:dyDescent="0.25" r="403" customHeight="1" ht="18.75">
      <c r="A403" s="7">
        <v>1</v>
      </c>
      <c r="B403" s="1" t="s">
        <v>461</v>
      </c>
      <c r="C403" s="1" t="s">
        <v>902</v>
      </c>
      <c r="D403" s="7">
        <v>2</v>
      </c>
      <c r="E403" s="7">
        <v>2</v>
      </c>
      <c r="F403" s="7">
        <v>4</v>
      </c>
      <c r="G403" s="1" t="s">
        <v>652</v>
      </c>
    </row>
    <row x14ac:dyDescent="0.25" r="404" customHeight="1" ht="18.75">
      <c r="A404" s="7">
        <v>1</v>
      </c>
      <c r="B404" s="1" t="s">
        <v>461</v>
      </c>
      <c r="C404" s="1" t="s">
        <v>903</v>
      </c>
      <c r="D404" s="7">
        <v>1</v>
      </c>
      <c r="E404" s="7">
        <v>0</v>
      </c>
      <c r="F404" s="7">
        <v>1</v>
      </c>
      <c r="G404" s="1" t="s">
        <v>652</v>
      </c>
    </row>
    <row x14ac:dyDescent="0.25" r="405" customHeight="1" ht="18.75">
      <c r="A405" s="7">
        <v>1</v>
      </c>
      <c r="B405" s="1" t="s">
        <v>461</v>
      </c>
      <c r="C405" s="1" t="s">
        <v>869</v>
      </c>
      <c r="D405" s="7">
        <v>8</v>
      </c>
      <c r="E405" s="7">
        <v>1</v>
      </c>
      <c r="F405" s="7">
        <v>9</v>
      </c>
      <c r="G405" s="1" t="s">
        <v>652</v>
      </c>
    </row>
    <row x14ac:dyDescent="0.25" r="406" customHeight="1" ht="18.75">
      <c r="A406" s="7">
        <v>1</v>
      </c>
      <c r="B406" s="1" t="s">
        <v>394</v>
      </c>
      <c r="C406" s="1" t="s">
        <v>681</v>
      </c>
      <c r="D406" s="7">
        <v>2</v>
      </c>
      <c r="E406" s="7">
        <v>2</v>
      </c>
      <c r="F406" s="7">
        <v>4</v>
      </c>
      <c r="G406" s="1" t="s">
        <v>652</v>
      </c>
    </row>
    <row x14ac:dyDescent="0.25" r="407" customHeight="1" ht="18.75">
      <c r="A407" s="7">
        <v>1</v>
      </c>
      <c r="B407" s="1" t="s">
        <v>396</v>
      </c>
      <c r="C407" s="1" t="s">
        <v>904</v>
      </c>
      <c r="D407" s="7">
        <v>1</v>
      </c>
      <c r="E407" s="7">
        <v>1</v>
      </c>
      <c r="F407" s="7">
        <v>2</v>
      </c>
      <c r="G407" s="1" t="s">
        <v>652</v>
      </c>
    </row>
    <row x14ac:dyDescent="0.25" r="408" customHeight="1" ht="18.75">
      <c r="A408" s="7">
        <v>1</v>
      </c>
      <c r="B408" s="1" t="s">
        <v>428</v>
      </c>
      <c r="C408" s="1" t="s">
        <v>657</v>
      </c>
      <c r="D408" s="7">
        <v>57</v>
      </c>
      <c r="E408" s="7">
        <v>22</v>
      </c>
      <c r="F408" s="7">
        <v>79</v>
      </c>
      <c r="G408" s="1" t="s">
        <v>652</v>
      </c>
    </row>
    <row x14ac:dyDescent="0.25" r="409" customHeight="1" ht="18.75">
      <c r="A409" s="7">
        <v>1</v>
      </c>
      <c r="B409" s="1" t="s">
        <v>428</v>
      </c>
      <c r="C409" s="1" t="s">
        <v>658</v>
      </c>
      <c r="D409" s="7">
        <v>27</v>
      </c>
      <c r="E409" s="7">
        <v>3</v>
      </c>
      <c r="F409" s="7">
        <v>30</v>
      </c>
      <c r="G409" s="1" t="s">
        <v>652</v>
      </c>
    </row>
    <row x14ac:dyDescent="0.25" r="410" customHeight="1" ht="18.75">
      <c r="A410" s="7">
        <v>1</v>
      </c>
      <c r="B410" s="1" t="s">
        <v>398</v>
      </c>
      <c r="C410" s="1" t="s">
        <v>905</v>
      </c>
      <c r="D410" s="7">
        <v>6</v>
      </c>
      <c r="E410" s="7">
        <v>0</v>
      </c>
      <c r="F410" s="7">
        <v>6</v>
      </c>
      <c r="G410" s="1" t="s">
        <v>652</v>
      </c>
    </row>
    <row x14ac:dyDescent="0.25" r="411" customHeight="1" ht="18.75">
      <c r="A411" s="7">
        <v>1</v>
      </c>
      <c r="B411" s="1" t="s">
        <v>492</v>
      </c>
      <c r="C411" s="1" t="s">
        <v>806</v>
      </c>
      <c r="D411" s="7">
        <v>4</v>
      </c>
      <c r="E411" s="7">
        <v>0</v>
      </c>
      <c r="F411" s="7">
        <v>4</v>
      </c>
      <c r="G411" s="1" t="s">
        <v>652</v>
      </c>
    </row>
    <row x14ac:dyDescent="0.25" r="412" customHeight="1" ht="18.75">
      <c r="A412" s="7">
        <v>1</v>
      </c>
      <c r="B412" s="1" t="s">
        <v>492</v>
      </c>
      <c r="C412" s="1" t="s">
        <v>862</v>
      </c>
      <c r="D412" s="7">
        <v>4</v>
      </c>
      <c r="E412" s="7">
        <v>0</v>
      </c>
      <c r="F412" s="7">
        <v>4</v>
      </c>
      <c r="G412" s="1" t="s">
        <v>652</v>
      </c>
    </row>
    <row x14ac:dyDescent="0.25" r="413" customHeight="1" ht="18.75">
      <c r="A413" s="7">
        <v>1</v>
      </c>
      <c r="B413" s="1" t="s">
        <v>492</v>
      </c>
      <c r="C413" s="1" t="s">
        <v>788</v>
      </c>
      <c r="D413" s="7">
        <v>11</v>
      </c>
      <c r="E413" s="7">
        <v>5</v>
      </c>
      <c r="F413" s="7">
        <v>16</v>
      </c>
      <c r="G413" s="1" t="s">
        <v>652</v>
      </c>
    </row>
    <row x14ac:dyDescent="0.25" r="414" customHeight="1" ht="18.75">
      <c r="A414" s="7">
        <v>1</v>
      </c>
      <c r="B414" s="1" t="s">
        <v>492</v>
      </c>
      <c r="C414" s="1" t="s">
        <v>906</v>
      </c>
      <c r="D414" s="7">
        <v>41</v>
      </c>
      <c r="E414" s="7">
        <v>24</v>
      </c>
      <c r="F414" s="7">
        <v>65</v>
      </c>
      <c r="G414" s="1" t="s">
        <v>652</v>
      </c>
    </row>
    <row x14ac:dyDescent="0.25" r="415" customHeight="1" ht="18.75">
      <c r="A415" s="7">
        <v>1</v>
      </c>
      <c r="B415" s="1" t="s">
        <v>492</v>
      </c>
      <c r="C415" s="1" t="s">
        <v>907</v>
      </c>
      <c r="D415" s="7">
        <v>11</v>
      </c>
      <c r="E415" s="7">
        <v>5</v>
      </c>
      <c r="F415" s="7">
        <v>16</v>
      </c>
      <c r="G415" s="1" t="s">
        <v>652</v>
      </c>
    </row>
    <row x14ac:dyDescent="0.25" r="416" customHeight="1" ht="18.75">
      <c r="A416" s="7">
        <v>1</v>
      </c>
      <c r="B416" s="1" t="s">
        <v>492</v>
      </c>
      <c r="C416" s="1" t="s">
        <v>908</v>
      </c>
      <c r="D416" s="7">
        <v>1</v>
      </c>
      <c r="E416" s="7">
        <v>0</v>
      </c>
      <c r="F416" s="7">
        <v>1</v>
      </c>
      <c r="G416" s="1" t="s">
        <v>652</v>
      </c>
    </row>
    <row x14ac:dyDescent="0.25" r="417" customHeight="1" ht="18.75">
      <c r="A417" s="7">
        <v>1</v>
      </c>
      <c r="B417" s="1" t="s">
        <v>492</v>
      </c>
      <c r="C417" s="1" t="s">
        <v>909</v>
      </c>
      <c r="D417" s="7">
        <v>5</v>
      </c>
      <c r="E417" s="7">
        <v>0</v>
      </c>
      <c r="F417" s="7">
        <v>5</v>
      </c>
      <c r="G417" s="1" t="s">
        <v>652</v>
      </c>
    </row>
    <row x14ac:dyDescent="0.25" r="418" customHeight="1" ht="18.75">
      <c r="A418" s="7">
        <v>1</v>
      </c>
      <c r="B418" s="1" t="s">
        <v>492</v>
      </c>
      <c r="C418" s="1" t="s">
        <v>910</v>
      </c>
      <c r="D418" s="7">
        <v>2</v>
      </c>
      <c r="E418" s="7">
        <v>0</v>
      </c>
      <c r="F418" s="7">
        <v>2</v>
      </c>
      <c r="G418" s="1" t="s">
        <v>721</v>
      </c>
    </row>
    <row x14ac:dyDescent="0.25" r="419" customHeight="1" ht="18.75">
      <c r="A419" s="7">
        <v>1</v>
      </c>
      <c r="B419" s="1" t="s">
        <v>492</v>
      </c>
      <c r="C419" s="1" t="s">
        <v>911</v>
      </c>
      <c r="D419" s="7">
        <v>2</v>
      </c>
      <c r="E419" s="7">
        <v>0</v>
      </c>
      <c r="F419" s="7">
        <v>2</v>
      </c>
      <c r="G419" s="1" t="s">
        <v>721</v>
      </c>
    </row>
    <row x14ac:dyDescent="0.25" r="420" customHeight="1" ht="18.75">
      <c r="A420" s="7">
        <v>1</v>
      </c>
      <c r="B420" s="1" t="s">
        <v>492</v>
      </c>
      <c r="C420" s="1" t="s">
        <v>912</v>
      </c>
      <c r="D420" s="7">
        <v>2</v>
      </c>
      <c r="E420" s="7">
        <v>0</v>
      </c>
      <c r="F420" s="7">
        <v>2</v>
      </c>
      <c r="G420" s="1" t="s">
        <v>721</v>
      </c>
    </row>
    <row x14ac:dyDescent="0.25" r="421" customHeight="1" ht="18.75">
      <c r="A421" s="7">
        <v>1</v>
      </c>
      <c r="B421" s="1" t="s">
        <v>492</v>
      </c>
      <c r="C421" s="1" t="s">
        <v>913</v>
      </c>
      <c r="D421" s="7">
        <v>2</v>
      </c>
      <c r="E421" s="7">
        <v>0</v>
      </c>
      <c r="F421" s="7">
        <v>2</v>
      </c>
      <c r="G421" s="1" t="s">
        <v>721</v>
      </c>
    </row>
    <row x14ac:dyDescent="0.25" r="422" customHeight="1" ht="18.75">
      <c r="A422" s="7">
        <v>1</v>
      </c>
      <c r="B422" s="1" t="s">
        <v>492</v>
      </c>
      <c r="C422" s="1" t="s">
        <v>914</v>
      </c>
      <c r="D422" s="7">
        <v>2</v>
      </c>
      <c r="E422" s="7">
        <v>0</v>
      </c>
      <c r="F422" s="7">
        <v>2</v>
      </c>
      <c r="G422" s="1" t="s">
        <v>721</v>
      </c>
    </row>
    <row x14ac:dyDescent="0.25" r="423" customHeight="1" ht="18.75">
      <c r="A423" s="7">
        <v>1</v>
      </c>
      <c r="B423" s="1" t="s">
        <v>492</v>
      </c>
      <c r="C423" s="1" t="s">
        <v>915</v>
      </c>
      <c r="D423" s="7">
        <v>2</v>
      </c>
      <c r="E423" s="7">
        <v>0</v>
      </c>
      <c r="F423" s="7">
        <v>2</v>
      </c>
      <c r="G423" s="1" t="s">
        <v>721</v>
      </c>
    </row>
    <row x14ac:dyDescent="0.25" r="424" customHeight="1" ht="18.75">
      <c r="A424" s="7">
        <v>1</v>
      </c>
      <c r="B424" s="1" t="s">
        <v>492</v>
      </c>
      <c r="C424" s="1" t="s">
        <v>916</v>
      </c>
      <c r="D424" s="7">
        <v>2</v>
      </c>
      <c r="E424" s="7">
        <v>0</v>
      </c>
      <c r="F424" s="7">
        <v>2</v>
      </c>
      <c r="G424" s="1" t="s">
        <v>721</v>
      </c>
    </row>
    <row x14ac:dyDescent="0.25" r="425" customHeight="1" ht="18.75">
      <c r="A425" s="7">
        <v>1</v>
      </c>
      <c r="B425" s="1" t="s">
        <v>492</v>
      </c>
      <c r="C425" s="1" t="s">
        <v>917</v>
      </c>
      <c r="D425" s="7">
        <v>2</v>
      </c>
      <c r="E425" s="7">
        <v>0</v>
      </c>
      <c r="F425" s="7">
        <v>2</v>
      </c>
      <c r="G425" s="1" t="s">
        <v>721</v>
      </c>
    </row>
    <row x14ac:dyDescent="0.25" r="426" customHeight="1" ht="18.75">
      <c r="A426" s="7">
        <v>1</v>
      </c>
      <c r="B426" s="1" t="s">
        <v>492</v>
      </c>
      <c r="C426" s="1" t="s">
        <v>918</v>
      </c>
      <c r="D426" s="7">
        <v>5</v>
      </c>
      <c r="E426" s="7">
        <v>0</v>
      </c>
      <c r="F426" s="7">
        <v>5</v>
      </c>
      <c r="G426" s="1" t="s">
        <v>721</v>
      </c>
    </row>
    <row x14ac:dyDescent="0.25" r="427" customHeight="1" ht="18.75">
      <c r="A427" s="7">
        <v>1</v>
      </c>
      <c r="B427" s="1" t="s">
        <v>492</v>
      </c>
      <c r="C427" s="1" t="s">
        <v>919</v>
      </c>
      <c r="D427" s="7">
        <v>5</v>
      </c>
      <c r="E427" s="7">
        <v>0</v>
      </c>
      <c r="F427" s="7">
        <v>5</v>
      </c>
      <c r="G427" s="1" t="s">
        <v>721</v>
      </c>
    </row>
    <row x14ac:dyDescent="0.25" r="428" customHeight="1" ht="18.75">
      <c r="A428" s="7">
        <v>1</v>
      </c>
      <c r="B428" s="1" t="s">
        <v>443</v>
      </c>
      <c r="C428" s="1" t="s">
        <v>756</v>
      </c>
      <c r="D428" s="7">
        <v>9</v>
      </c>
      <c r="E428" s="7">
        <v>0</v>
      </c>
      <c r="F428" s="7">
        <v>9</v>
      </c>
      <c r="G428" s="1" t="s">
        <v>652</v>
      </c>
    </row>
    <row x14ac:dyDescent="0.25" r="429" customHeight="1" ht="18.75">
      <c r="A429" s="7">
        <v>1</v>
      </c>
      <c r="B429" s="1" t="s">
        <v>443</v>
      </c>
      <c r="C429" s="1" t="s">
        <v>757</v>
      </c>
      <c r="D429" s="7">
        <v>27</v>
      </c>
      <c r="E429" s="7">
        <v>0</v>
      </c>
      <c r="F429" s="7">
        <v>27</v>
      </c>
      <c r="G429" s="1" t="s">
        <v>652</v>
      </c>
    </row>
    <row x14ac:dyDescent="0.25" r="430" customHeight="1" ht="18.75">
      <c r="A430" s="7">
        <v>1</v>
      </c>
      <c r="B430" s="1" t="s">
        <v>443</v>
      </c>
      <c r="C430" s="1" t="s">
        <v>758</v>
      </c>
      <c r="D430" s="7">
        <v>2</v>
      </c>
      <c r="E430" s="7">
        <v>0</v>
      </c>
      <c r="F430" s="7">
        <v>2</v>
      </c>
      <c r="G430" s="1" t="s">
        <v>652</v>
      </c>
    </row>
    <row x14ac:dyDescent="0.25" r="431" customHeight="1" ht="18.75">
      <c r="A431" s="7">
        <v>1</v>
      </c>
      <c r="B431" s="1" t="s">
        <v>400</v>
      </c>
      <c r="C431" s="1" t="s">
        <v>920</v>
      </c>
      <c r="D431" s="7">
        <v>1</v>
      </c>
      <c r="E431" s="7">
        <v>1</v>
      </c>
      <c r="F431" s="7">
        <v>2</v>
      </c>
      <c r="G431" s="1" t="s">
        <v>652</v>
      </c>
    </row>
    <row x14ac:dyDescent="0.25" r="432" customHeight="1" ht="18.75">
      <c r="A432" s="7">
        <v>1</v>
      </c>
      <c r="B432" s="1" t="s">
        <v>402</v>
      </c>
      <c r="C432" s="1" t="s">
        <v>664</v>
      </c>
      <c r="D432" s="7">
        <v>3</v>
      </c>
      <c r="E432" s="7">
        <v>0</v>
      </c>
      <c r="F432" s="7">
        <v>3</v>
      </c>
      <c r="G432" s="1" t="s">
        <v>652</v>
      </c>
    </row>
    <row x14ac:dyDescent="0.25" r="433" customHeight="1" ht="18.75">
      <c r="A433" s="7">
        <v>1</v>
      </c>
      <c r="B433" s="1" t="s">
        <v>447</v>
      </c>
      <c r="C433" s="1" t="s">
        <v>756</v>
      </c>
      <c r="D433" s="7">
        <v>8</v>
      </c>
      <c r="E433" s="7">
        <v>0</v>
      </c>
      <c r="F433" s="7">
        <v>8</v>
      </c>
      <c r="G433" s="1" t="s">
        <v>652</v>
      </c>
    </row>
    <row x14ac:dyDescent="0.25" r="434" customHeight="1" ht="18.75">
      <c r="A434" s="7">
        <v>1</v>
      </c>
      <c r="B434" s="1" t="s">
        <v>447</v>
      </c>
      <c r="C434" s="1" t="s">
        <v>757</v>
      </c>
      <c r="D434" s="7">
        <v>27</v>
      </c>
      <c r="E434" s="7">
        <v>0</v>
      </c>
      <c r="F434" s="7">
        <v>27</v>
      </c>
      <c r="G434" s="1" t="s">
        <v>652</v>
      </c>
    </row>
    <row x14ac:dyDescent="0.25" r="435" customHeight="1" ht="18.75">
      <c r="A435" s="7">
        <v>1</v>
      </c>
      <c r="B435" s="1" t="s">
        <v>447</v>
      </c>
      <c r="C435" s="1" t="s">
        <v>758</v>
      </c>
      <c r="D435" s="7">
        <v>2</v>
      </c>
      <c r="E435" s="7">
        <v>0</v>
      </c>
      <c r="F435" s="7">
        <v>2</v>
      </c>
      <c r="G435" s="1" t="s">
        <v>652</v>
      </c>
    </row>
    <row x14ac:dyDescent="0.25" r="436" customHeight="1" ht="18.75">
      <c r="A436" s="7">
        <v>1</v>
      </c>
      <c r="B436" s="1" t="s">
        <v>467</v>
      </c>
      <c r="C436" s="1" t="s">
        <v>694</v>
      </c>
      <c r="D436" s="7">
        <v>166</v>
      </c>
      <c r="E436" s="7">
        <v>119</v>
      </c>
      <c r="F436" s="7">
        <v>285</v>
      </c>
      <c r="G436" s="1" t="s">
        <v>652</v>
      </c>
    </row>
    <row x14ac:dyDescent="0.25" r="437" customHeight="1" ht="18.75">
      <c r="A437" s="7">
        <v>1</v>
      </c>
      <c r="B437" s="1" t="s">
        <v>467</v>
      </c>
      <c r="C437" s="1" t="s">
        <v>696</v>
      </c>
      <c r="D437" s="7">
        <v>93</v>
      </c>
      <c r="E437" s="7">
        <v>59</v>
      </c>
      <c r="F437" s="7">
        <v>152</v>
      </c>
      <c r="G437" s="1" t="s">
        <v>652</v>
      </c>
    </row>
    <row x14ac:dyDescent="0.25" r="438" customHeight="1" ht="18.75">
      <c r="A438" s="7">
        <v>1</v>
      </c>
      <c r="B438" s="1" t="s">
        <v>467</v>
      </c>
      <c r="C438" s="1" t="s">
        <v>697</v>
      </c>
      <c r="D438" s="7">
        <v>86</v>
      </c>
      <c r="E438" s="7">
        <v>48</v>
      </c>
      <c r="F438" s="7">
        <v>134</v>
      </c>
      <c r="G438" s="1" t="s">
        <v>652</v>
      </c>
    </row>
    <row x14ac:dyDescent="0.25" r="439" customHeight="1" ht="18.75">
      <c r="A439" s="7">
        <v>1</v>
      </c>
      <c r="B439" s="1" t="s">
        <v>467</v>
      </c>
      <c r="C439" s="1" t="s">
        <v>698</v>
      </c>
      <c r="D439" s="7">
        <v>142</v>
      </c>
      <c r="E439" s="7">
        <v>104</v>
      </c>
      <c r="F439" s="7">
        <v>246</v>
      </c>
      <c r="G439" s="1" t="s">
        <v>652</v>
      </c>
    </row>
    <row x14ac:dyDescent="0.25" r="440" customHeight="1" ht="18.75">
      <c r="A440" s="7">
        <v>1</v>
      </c>
      <c r="B440" s="1" t="s">
        <v>467</v>
      </c>
      <c r="C440" s="1" t="s">
        <v>699</v>
      </c>
      <c r="D440" s="7">
        <v>8</v>
      </c>
      <c r="E440" s="7">
        <v>0</v>
      </c>
      <c r="F440" s="7">
        <v>8</v>
      </c>
      <c r="G440" s="1" t="s">
        <v>652</v>
      </c>
    </row>
    <row x14ac:dyDescent="0.25" r="441" customHeight="1" ht="18.75">
      <c r="A441" s="7">
        <v>1</v>
      </c>
      <c r="B441" s="1" t="s">
        <v>404</v>
      </c>
      <c r="C441" s="1" t="s">
        <v>921</v>
      </c>
      <c r="D441" s="7">
        <v>1</v>
      </c>
      <c r="E441" s="7">
        <v>0</v>
      </c>
      <c r="F441" s="7">
        <v>1</v>
      </c>
      <c r="G441" s="1" t="s">
        <v>652</v>
      </c>
    </row>
    <row x14ac:dyDescent="0.25" r="442" customHeight="1" ht="18.75">
      <c r="A442" s="7">
        <v>1</v>
      </c>
      <c r="B442" s="1" t="s">
        <v>449</v>
      </c>
      <c r="C442" s="1" t="s">
        <v>756</v>
      </c>
      <c r="D442" s="7">
        <v>10</v>
      </c>
      <c r="E442" s="7">
        <v>2</v>
      </c>
      <c r="F442" s="7">
        <v>12</v>
      </c>
      <c r="G442" s="1" t="s">
        <v>652</v>
      </c>
    </row>
    <row x14ac:dyDescent="0.25" r="443" customHeight="1" ht="18.75">
      <c r="A443" s="7">
        <v>1</v>
      </c>
      <c r="B443" s="1" t="s">
        <v>449</v>
      </c>
      <c r="C443" s="1" t="s">
        <v>757</v>
      </c>
      <c r="D443" s="7">
        <v>28</v>
      </c>
      <c r="E443" s="7">
        <v>1</v>
      </c>
      <c r="F443" s="7">
        <v>29</v>
      </c>
      <c r="G443" s="1" t="s">
        <v>652</v>
      </c>
    </row>
    <row x14ac:dyDescent="0.25" r="444" customHeight="1" ht="18.75">
      <c r="A444" s="7">
        <v>1</v>
      </c>
      <c r="B444" s="1" t="s">
        <v>449</v>
      </c>
      <c r="C444" s="1" t="s">
        <v>758</v>
      </c>
      <c r="D444" s="7">
        <v>2</v>
      </c>
      <c r="E444" s="7">
        <v>0</v>
      </c>
      <c r="F444" s="7">
        <v>2</v>
      </c>
      <c r="G444" s="1" t="s">
        <v>652</v>
      </c>
    </row>
    <row x14ac:dyDescent="0.25" r="445" customHeight="1" ht="18.75">
      <c r="A445" s="7">
        <v>1</v>
      </c>
      <c r="B445" s="1" t="s">
        <v>459</v>
      </c>
      <c r="C445" s="1" t="s">
        <v>922</v>
      </c>
      <c r="D445" s="7">
        <v>5</v>
      </c>
      <c r="E445" s="7">
        <v>3</v>
      </c>
      <c r="F445" s="7">
        <v>8</v>
      </c>
      <c r="G445" s="1" t="s">
        <v>652</v>
      </c>
    </row>
    <row x14ac:dyDescent="0.25" r="446" customHeight="1" ht="18.75">
      <c r="A446" s="7">
        <v>1</v>
      </c>
      <c r="B446" s="1" t="s">
        <v>459</v>
      </c>
      <c r="C446" s="1" t="s">
        <v>923</v>
      </c>
      <c r="D446" s="7">
        <v>30</v>
      </c>
      <c r="E446" s="7">
        <v>0</v>
      </c>
      <c r="F446" s="7">
        <v>30</v>
      </c>
      <c r="G446" s="1" t="s">
        <v>652</v>
      </c>
    </row>
    <row x14ac:dyDescent="0.25" r="447" customHeight="1" ht="18.75">
      <c r="A447" s="7">
        <v>1</v>
      </c>
      <c r="B447" s="1" t="s">
        <v>459</v>
      </c>
      <c r="C447" s="1" t="s">
        <v>903</v>
      </c>
      <c r="D447" s="7">
        <v>0</v>
      </c>
      <c r="E447" s="7">
        <v>14</v>
      </c>
      <c r="F447" s="7">
        <v>14</v>
      </c>
      <c r="G447" s="1" t="s">
        <v>652</v>
      </c>
    </row>
    <row x14ac:dyDescent="0.25" r="448" customHeight="1" ht="18.75">
      <c r="A448" s="7">
        <v>1</v>
      </c>
      <c r="B448" s="1" t="s">
        <v>459</v>
      </c>
      <c r="C448" s="1" t="s">
        <v>924</v>
      </c>
      <c r="D448" s="7">
        <v>6</v>
      </c>
      <c r="E448" s="7">
        <v>9</v>
      </c>
      <c r="F448" s="7">
        <v>15</v>
      </c>
      <c r="G448" s="1" t="s">
        <v>652</v>
      </c>
    </row>
    <row x14ac:dyDescent="0.25" r="449" customHeight="1" ht="18.75">
      <c r="A449" s="7">
        <v>1</v>
      </c>
      <c r="B449" s="1" t="s">
        <v>406</v>
      </c>
      <c r="C449" s="1" t="s">
        <v>689</v>
      </c>
      <c r="D449" s="7">
        <v>13</v>
      </c>
      <c r="E449" s="7">
        <v>23</v>
      </c>
      <c r="F449" s="7">
        <v>36</v>
      </c>
      <c r="G449" s="1" t="s">
        <v>652</v>
      </c>
    </row>
    <row x14ac:dyDescent="0.25" r="450" customHeight="1" ht="18.75">
      <c r="A450" s="7">
        <v>1</v>
      </c>
      <c r="B450" s="1" t="s">
        <v>408</v>
      </c>
      <c r="C450" s="1" t="s">
        <v>848</v>
      </c>
      <c r="D450" s="7">
        <v>1</v>
      </c>
      <c r="E450" s="7">
        <v>1</v>
      </c>
      <c r="F450" s="7">
        <v>2</v>
      </c>
      <c r="G450" s="1" t="s">
        <v>652</v>
      </c>
    </row>
    <row x14ac:dyDescent="0.25" r="451" customHeight="1" ht="18.75">
      <c r="A451" s="7">
        <v>1</v>
      </c>
      <c r="B451" s="1" t="s">
        <v>327</v>
      </c>
      <c r="C451" s="1" t="s">
        <v>925</v>
      </c>
      <c r="D451" s="7">
        <v>1</v>
      </c>
      <c r="E451" s="7">
        <v>1</v>
      </c>
      <c r="F451" s="7">
        <v>2</v>
      </c>
      <c r="G451" s="1" t="s">
        <v>652</v>
      </c>
    </row>
    <row x14ac:dyDescent="0.25" r="452" customHeight="1" ht="18.75">
      <c r="A452" s="7">
        <v>1</v>
      </c>
      <c r="B452" s="1" t="s">
        <v>323</v>
      </c>
      <c r="C452" s="1" t="s">
        <v>700</v>
      </c>
      <c r="D452" s="7">
        <v>1</v>
      </c>
      <c r="E452" s="7">
        <v>1</v>
      </c>
      <c r="F452" s="7">
        <v>2</v>
      </c>
      <c r="G452" s="1" t="s">
        <v>652</v>
      </c>
    </row>
    <row x14ac:dyDescent="0.25" r="453" customHeight="1" ht="18.75">
      <c r="A453" s="7">
        <v>2</v>
      </c>
      <c r="B453" s="1" t="s">
        <v>494</v>
      </c>
      <c r="C453" s="1" t="s">
        <v>926</v>
      </c>
      <c r="D453" s="7">
        <v>8</v>
      </c>
      <c r="E453" s="7">
        <v>3</v>
      </c>
      <c r="F453" s="7">
        <v>11</v>
      </c>
      <c r="G453" s="1" t="s">
        <v>652</v>
      </c>
    </row>
    <row x14ac:dyDescent="0.25" r="454" customHeight="1" ht="18.75">
      <c r="A454" s="7">
        <v>2</v>
      </c>
      <c r="B454" s="1" t="s">
        <v>580</v>
      </c>
      <c r="C454" s="1" t="s">
        <v>927</v>
      </c>
      <c r="D454" s="7">
        <v>13</v>
      </c>
      <c r="E454" s="7">
        <v>1</v>
      </c>
      <c r="F454" s="7">
        <v>14</v>
      </c>
      <c r="G454" s="1" t="s">
        <v>652</v>
      </c>
    </row>
    <row x14ac:dyDescent="0.25" r="455" customHeight="1" ht="18.75">
      <c r="A455" s="7">
        <v>2</v>
      </c>
      <c r="B455" s="1" t="s">
        <v>496</v>
      </c>
      <c r="C455" s="1" t="s">
        <v>928</v>
      </c>
      <c r="D455" s="7">
        <v>1</v>
      </c>
      <c r="E455" s="7">
        <v>1</v>
      </c>
      <c r="F455" s="7">
        <v>2</v>
      </c>
      <c r="G455" s="1" t="s">
        <v>652</v>
      </c>
    </row>
    <row x14ac:dyDescent="0.25" r="456" customHeight="1" ht="18.75">
      <c r="A456" s="7">
        <v>2</v>
      </c>
      <c r="B456" s="1" t="s">
        <v>606</v>
      </c>
      <c r="C456" s="1" t="s">
        <v>929</v>
      </c>
      <c r="D456" s="7">
        <v>6</v>
      </c>
      <c r="E456" s="7">
        <v>4</v>
      </c>
      <c r="F456" s="7">
        <v>10</v>
      </c>
      <c r="G456" s="1" t="s">
        <v>652</v>
      </c>
    </row>
    <row x14ac:dyDescent="0.25" r="457" customHeight="1" ht="18.75">
      <c r="A457" s="7">
        <v>2</v>
      </c>
      <c r="B457" s="1" t="s">
        <v>606</v>
      </c>
      <c r="C457" s="1" t="s">
        <v>930</v>
      </c>
      <c r="D457" s="7">
        <v>2</v>
      </c>
      <c r="E457" s="7">
        <v>1</v>
      </c>
      <c r="F457" s="7">
        <v>3</v>
      </c>
      <c r="G457" s="1" t="s">
        <v>652</v>
      </c>
    </row>
    <row x14ac:dyDescent="0.25" r="458" customHeight="1" ht="18.75">
      <c r="A458" s="7">
        <v>2</v>
      </c>
      <c r="B458" s="1" t="s">
        <v>606</v>
      </c>
      <c r="C458" s="1" t="s">
        <v>931</v>
      </c>
      <c r="D458" s="7">
        <v>33</v>
      </c>
      <c r="E458" s="7">
        <v>10</v>
      </c>
      <c r="F458" s="7">
        <v>43</v>
      </c>
      <c r="G458" s="1" t="s">
        <v>652</v>
      </c>
    </row>
    <row x14ac:dyDescent="0.25" r="459" customHeight="1" ht="18.75">
      <c r="A459" s="7">
        <v>2</v>
      </c>
      <c r="B459" s="1" t="s">
        <v>606</v>
      </c>
      <c r="C459" s="1" t="s">
        <v>932</v>
      </c>
      <c r="D459" s="7">
        <v>3</v>
      </c>
      <c r="E459" s="7">
        <v>2</v>
      </c>
      <c r="F459" s="7">
        <v>5</v>
      </c>
      <c r="G459" s="1" t="s">
        <v>652</v>
      </c>
    </row>
    <row x14ac:dyDescent="0.25" r="460" customHeight="1" ht="18.75">
      <c r="A460" s="7">
        <v>2</v>
      </c>
      <c r="B460" s="1" t="s">
        <v>498</v>
      </c>
      <c r="C460" s="1" t="s">
        <v>933</v>
      </c>
      <c r="D460" s="7">
        <v>4</v>
      </c>
      <c r="E460" s="7">
        <v>4</v>
      </c>
      <c r="F460" s="7">
        <v>8</v>
      </c>
      <c r="G460" s="1" t="s">
        <v>652</v>
      </c>
    </row>
    <row x14ac:dyDescent="0.25" r="461" customHeight="1" ht="18.75">
      <c r="A461" s="7">
        <v>2</v>
      </c>
      <c r="B461" s="1" t="s">
        <v>605</v>
      </c>
      <c r="C461" s="1" t="s">
        <v>934</v>
      </c>
      <c r="D461" s="7">
        <v>9</v>
      </c>
      <c r="E461" s="7">
        <v>1</v>
      </c>
      <c r="F461" s="7">
        <v>10</v>
      </c>
      <c r="G461" s="1" t="s">
        <v>652</v>
      </c>
    </row>
    <row x14ac:dyDescent="0.25" r="462" customHeight="1" ht="18.75">
      <c r="A462" s="7">
        <v>2</v>
      </c>
      <c r="B462" s="1" t="s">
        <v>605</v>
      </c>
      <c r="C462" s="1" t="s">
        <v>935</v>
      </c>
      <c r="D462" s="7">
        <v>12</v>
      </c>
      <c r="E462" s="7">
        <v>1</v>
      </c>
      <c r="F462" s="7">
        <v>13</v>
      </c>
      <c r="G462" s="1" t="s">
        <v>652</v>
      </c>
    </row>
    <row x14ac:dyDescent="0.25" r="463" customHeight="1" ht="18.75">
      <c r="A463" s="7">
        <v>2</v>
      </c>
      <c r="B463" s="1" t="s">
        <v>605</v>
      </c>
      <c r="C463" s="1" t="s">
        <v>936</v>
      </c>
      <c r="D463" s="7">
        <v>10</v>
      </c>
      <c r="E463" s="7">
        <v>1</v>
      </c>
      <c r="F463" s="7">
        <v>11</v>
      </c>
      <c r="G463" s="1" t="s">
        <v>652</v>
      </c>
    </row>
    <row x14ac:dyDescent="0.25" r="464" customHeight="1" ht="18.75">
      <c r="A464" s="7">
        <v>2</v>
      </c>
      <c r="B464" s="1" t="s">
        <v>605</v>
      </c>
      <c r="C464" s="1" t="s">
        <v>937</v>
      </c>
      <c r="D464" s="7">
        <v>10</v>
      </c>
      <c r="E464" s="7">
        <v>1</v>
      </c>
      <c r="F464" s="7">
        <v>11</v>
      </c>
      <c r="G464" s="1" t="s">
        <v>652</v>
      </c>
    </row>
    <row x14ac:dyDescent="0.25" r="465" customHeight="1" ht="18.75">
      <c r="A465" s="7">
        <v>2</v>
      </c>
      <c r="B465" s="1" t="s">
        <v>608</v>
      </c>
      <c r="C465" s="1" t="s">
        <v>938</v>
      </c>
      <c r="D465" s="7">
        <v>11</v>
      </c>
      <c r="E465" s="7">
        <v>0</v>
      </c>
      <c r="F465" s="7">
        <v>11</v>
      </c>
      <c r="G465" s="1" t="s">
        <v>652</v>
      </c>
    </row>
    <row x14ac:dyDescent="0.25" r="466" customHeight="1" ht="18.75">
      <c r="A466" s="7">
        <v>2</v>
      </c>
      <c r="B466" s="1" t="s">
        <v>608</v>
      </c>
      <c r="C466" s="1" t="s">
        <v>939</v>
      </c>
      <c r="D466" s="7">
        <v>3</v>
      </c>
      <c r="E466" s="7">
        <v>2</v>
      </c>
      <c r="F466" s="7">
        <v>5</v>
      </c>
      <c r="G466" s="1" t="s">
        <v>652</v>
      </c>
    </row>
    <row x14ac:dyDescent="0.25" r="467" customHeight="1" ht="18.75">
      <c r="A467" s="7">
        <v>2</v>
      </c>
      <c r="B467" s="1" t="s">
        <v>608</v>
      </c>
      <c r="C467" s="1" t="s">
        <v>940</v>
      </c>
      <c r="D467" s="7">
        <v>36</v>
      </c>
      <c r="E467" s="7">
        <v>61</v>
      </c>
      <c r="F467" s="7">
        <v>97</v>
      </c>
      <c r="G467" s="1" t="s">
        <v>652</v>
      </c>
    </row>
    <row x14ac:dyDescent="0.25" r="468" customHeight="1" ht="18.75">
      <c r="A468" s="7">
        <v>2</v>
      </c>
      <c r="B468" s="1" t="s">
        <v>608</v>
      </c>
      <c r="C468" s="1" t="s">
        <v>941</v>
      </c>
      <c r="D468" s="7">
        <v>5</v>
      </c>
      <c r="E468" s="7">
        <v>4</v>
      </c>
      <c r="F468" s="7">
        <v>9</v>
      </c>
      <c r="G468" s="1" t="s">
        <v>652</v>
      </c>
    </row>
    <row x14ac:dyDescent="0.25" r="469" customHeight="1" ht="18.75">
      <c r="A469" s="7">
        <v>2</v>
      </c>
      <c r="B469" s="1" t="s">
        <v>608</v>
      </c>
      <c r="C469" s="1" t="s">
        <v>942</v>
      </c>
      <c r="D469" s="7">
        <v>7</v>
      </c>
      <c r="E469" s="7">
        <v>7</v>
      </c>
      <c r="F469" s="7">
        <v>14</v>
      </c>
      <c r="G469" s="1" t="s">
        <v>652</v>
      </c>
    </row>
    <row x14ac:dyDescent="0.25" r="470" customHeight="1" ht="18.75">
      <c r="A470" s="7">
        <v>2</v>
      </c>
      <c r="B470" s="1" t="s">
        <v>608</v>
      </c>
      <c r="C470" s="1" t="s">
        <v>943</v>
      </c>
      <c r="D470" s="7">
        <v>1</v>
      </c>
      <c r="E470" s="7">
        <v>1</v>
      </c>
      <c r="F470" s="7">
        <v>2</v>
      </c>
      <c r="G470" s="1" t="s">
        <v>652</v>
      </c>
    </row>
    <row x14ac:dyDescent="0.25" r="471" customHeight="1" ht="18.75">
      <c r="A471" s="7">
        <v>2</v>
      </c>
      <c r="B471" s="1" t="s">
        <v>608</v>
      </c>
      <c r="C471" s="1" t="s">
        <v>944</v>
      </c>
      <c r="D471" s="7">
        <v>70</v>
      </c>
      <c r="E471" s="7">
        <v>21</v>
      </c>
      <c r="F471" s="7">
        <v>91</v>
      </c>
      <c r="G471" s="1" t="s">
        <v>652</v>
      </c>
    </row>
    <row x14ac:dyDescent="0.25" r="472" customHeight="1" ht="18.75">
      <c r="A472" s="7">
        <v>2</v>
      </c>
      <c r="B472" s="1" t="s">
        <v>500</v>
      </c>
      <c r="C472" s="1" t="s">
        <v>945</v>
      </c>
      <c r="D472" s="7">
        <v>2</v>
      </c>
      <c r="E472" s="7">
        <v>0</v>
      </c>
      <c r="F472" s="7">
        <v>2</v>
      </c>
      <c r="G472" s="1" t="s">
        <v>652</v>
      </c>
    </row>
    <row x14ac:dyDescent="0.25" r="473" customHeight="1" ht="18.75">
      <c r="A473" s="7">
        <v>2</v>
      </c>
      <c r="B473" s="1" t="s">
        <v>570</v>
      </c>
      <c r="C473" s="1" t="s">
        <v>946</v>
      </c>
      <c r="D473" s="7">
        <v>15</v>
      </c>
      <c r="E473" s="7">
        <v>15</v>
      </c>
      <c r="F473" s="7">
        <v>30</v>
      </c>
      <c r="G473" s="1" t="s">
        <v>652</v>
      </c>
    </row>
    <row x14ac:dyDescent="0.25" r="474" customHeight="1" ht="18.75">
      <c r="A474" s="7">
        <v>2</v>
      </c>
      <c r="B474" s="1" t="s">
        <v>550</v>
      </c>
      <c r="C474" s="1" t="s">
        <v>947</v>
      </c>
      <c r="D474" s="7">
        <v>53</v>
      </c>
      <c r="E474" s="7">
        <v>33</v>
      </c>
      <c r="F474" s="7">
        <v>86</v>
      </c>
      <c r="G474" s="1" t="s">
        <v>652</v>
      </c>
    </row>
    <row x14ac:dyDescent="0.25" r="475" customHeight="1" ht="18.75">
      <c r="A475" s="7">
        <v>2</v>
      </c>
      <c r="B475" s="1" t="s">
        <v>504</v>
      </c>
      <c r="C475" s="1" t="s">
        <v>948</v>
      </c>
      <c r="D475" s="7">
        <v>3</v>
      </c>
      <c r="E475" s="7">
        <v>1</v>
      </c>
      <c r="F475" s="7">
        <v>4</v>
      </c>
      <c r="G475" s="1" t="s">
        <v>652</v>
      </c>
    </row>
    <row x14ac:dyDescent="0.25" r="476" customHeight="1" ht="18.75">
      <c r="A476" s="7">
        <v>2</v>
      </c>
      <c r="B476" s="1" t="s">
        <v>552</v>
      </c>
      <c r="C476" s="1" t="s">
        <v>949</v>
      </c>
      <c r="D476" s="7">
        <v>41</v>
      </c>
      <c r="E476" s="7">
        <v>21</v>
      </c>
      <c r="F476" s="7">
        <v>62</v>
      </c>
      <c r="G476" s="1" t="s">
        <v>652</v>
      </c>
    </row>
    <row x14ac:dyDescent="0.25" r="477" customHeight="1" ht="18.75">
      <c r="A477" s="7">
        <v>2</v>
      </c>
      <c r="B477" s="1" t="s">
        <v>506</v>
      </c>
      <c r="C477" s="1" t="s">
        <v>950</v>
      </c>
      <c r="D477" s="7">
        <v>2</v>
      </c>
      <c r="E477" s="7">
        <v>2</v>
      </c>
      <c r="F477" s="7">
        <v>4</v>
      </c>
      <c r="G477" s="1" t="s">
        <v>652</v>
      </c>
    </row>
    <row x14ac:dyDescent="0.25" r="478" customHeight="1" ht="18.75">
      <c r="A478" s="7">
        <v>2</v>
      </c>
      <c r="B478" s="1" t="s">
        <v>597</v>
      </c>
      <c r="C478" s="1" t="s">
        <v>951</v>
      </c>
      <c r="D478" s="7">
        <v>17</v>
      </c>
      <c r="E478" s="7">
        <v>19</v>
      </c>
      <c r="F478" s="7">
        <v>36</v>
      </c>
      <c r="G478" s="1" t="s">
        <v>652</v>
      </c>
    </row>
    <row x14ac:dyDescent="0.25" r="479" customHeight="1" ht="18.75">
      <c r="A479" s="7">
        <v>2</v>
      </c>
      <c r="B479" s="1" t="s">
        <v>597</v>
      </c>
      <c r="C479" s="1" t="s">
        <v>952</v>
      </c>
      <c r="D479" s="7">
        <v>62</v>
      </c>
      <c r="E479" s="7">
        <v>0</v>
      </c>
      <c r="F479" s="7">
        <v>62</v>
      </c>
      <c r="G479" s="1" t="s">
        <v>652</v>
      </c>
    </row>
    <row x14ac:dyDescent="0.25" r="480" customHeight="1" ht="18.75">
      <c r="A480" s="7">
        <v>2</v>
      </c>
      <c r="B480" s="1" t="s">
        <v>508</v>
      </c>
      <c r="C480" s="1" t="s">
        <v>953</v>
      </c>
      <c r="D480" s="7">
        <v>27</v>
      </c>
      <c r="E480" s="7">
        <v>5</v>
      </c>
      <c r="F480" s="7">
        <v>32</v>
      </c>
      <c r="G480" s="1" t="s">
        <v>652</v>
      </c>
    </row>
    <row x14ac:dyDescent="0.25" r="481" customHeight="1" ht="18.75">
      <c r="A481" s="7">
        <v>2</v>
      </c>
      <c r="B481" s="1" t="s">
        <v>514</v>
      </c>
      <c r="C481" s="1" t="s">
        <v>943</v>
      </c>
      <c r="D481" s="7">
        <v>23</v>
      </c>
      <c r="E481" s="7">
        <v>21</v>
      </c>
      <c r="F481" s="7">
        <v>44</v>
      </c>
      <c r="G481" s="1" t="s">
        <v>652</v>
      </c>
    </row>
    <row x14ac:dyDescent="0.25" r="482" customHeight="1" ht="18.75">
      <c r="A482" s="7">
        <v>2</v>
      </c>
      <c r="B482" s="1" t="s">
        <v>510</v>
      </c>
      <c r="C482" s="1" t="s">
        <v>954</v>
      </c>
      <c r="D482" s="7">
        <v>4</v>
      </c>
      <c r="E482" s="7">
        <v>14</v>
      </c>
      <c r="F482" s="7">
        <v>18</v>
      </c>
      <c r="G482" s="1" t="s">
        <v>652</v>
      </c>
    </row>
    <row x14ac:dyDescent="0.25" r="483" customHeight="1" ht="18.75">
      <c r="A483" s="7">
        <v>2</v>
      </c>
      <c r="B483" s="1" t="s">
        <v>515</v>
      </c>
      <c r="C483" s="1" t="s">
        <v>955</v>
      </c>
      <c r="D483" s="7">
        <v>22</v>
      </c>
      <c r="E483" s="7">
        <v>31</v>
      </c>
      <c r="F483" s="7">
        <v>53</v>
      </c>
      <c r="G483" s="1" t="s">
        <v>652</v>
      </c>
    </row>
    <row x14ac:dyDescent="0.25" r="484" customHeight="1" ht="18.75">
      <c r="A484" s="7">
        <v>2</v>
      </c>
      <c r="B484" s="2" t="s">
        <v>512</v>
      </c>
      <c r="C484" s="1" t="s">
        <v>956</v>
      </c>
      <c r="D484" s="7">
        <v>2</v>
      </c>
      <c r="E484" s="7">
        <v>2</v>
      </c>
      <c r="F484" s="7">
        <v>4</v>
      </c>
      <c r="G484" s="1" t="s">
        <v>652</v>
      </c>
    </row>
    <row x14ac:dyDescent="0.25" r="485" customHeight="1" ht="18.75">
      <c r="A485" s="7">
        <v>2</v>
      </c>
      <c r="B485" s="1" t="s">
        <v>517</v>
      </c>
      <c r="C485" s="1" t="s">
        <v>957</v>
      </c>
      <c r="D485" s="7">
        <v>4</v>
      </c>
      <c r="E485" s="7">
        <v>4</v>
      </c>
      <c r="F485" s="7">
        <v>8</v>
      </c>
      <c r="G485" s="1" t="s">
        <v>652</v>
      </c>
    </row>
    <row x14ac:dyDescent="0.25" r="486" customHeight="1" ht="18.75">
      <c r="A486" s="7">
        <v>2</v>
      </c>
      <c r="B486" s="1" t="s">
        <v>592</v>
      </c>
      <c r="C486" s="1" t="s">
        <v>958</v>
      </c>
      <c r="D486" s="7">
        <v>14</v>
      </c>
      <c r="E486" s="7">
        <v>0</v>
      </c>
      <c r="F486" s="7">
        <v>14</v>
      </c>
      <c r="G486" s="1" t="s">
        <v>652</v>
      </c>
    </row>
    <row x14ac:dyDescent="0.25" r="487" customHeight="1" ht="18.75">
      <c r="A487" s="7">
        <v>2</v>
      </c>
      <c r="B487" s="1" t="s">
        <v>592</v>
      </c>
      <c r="C487" s="1" t="s">
        <v>959</v>
      </c>
      <c r="D487" s="7">
        <v>14</v>
      </c>
      <c r="E487" s="7">
        <v>0</v>
      </c>
      <c r="F487" s="7">
        <v>14</v>
      </c>
      <c r="G487" s="1" t="s">
        <v>652</v>
      </c>
    </row>
    <row x14ac:dyDescent="0.25" r="488" customHeight="1" ht="18.75">
      <c r="A488" s="7">
        <v>2</v>
      </c>
      <c r="B488" s="1" t="s">
        <v>519</v>
      </c>
      <c r="C488" s="1" t="s">
        <v>960</v>
      </c>
      <c r="D488" s="7">
        <v>12</v>
      </c>
      <c r="E488" s="7">
        <v>5</v>
      </c>
      <c r="F488" s="7">
        <v>17</v>
      </c>
      <c r="G488" s="1" t="s">
        <v>652</v>
      </c>
    </row>
    <row x14ac:dyDescent="0.25" r="489" customHeight="1" ht="18.75">
      <c r="A489" s="7">
        <v>2</v>
      </c>
      <c r="B489" s="1" t="s">
        <v>516</v>
      </c>
      <c r="C489" s="1" t="s">
        <v>961</v>
      </c>
      <c r="D489" s="7">
        <v>3</v>
      </c>
      <c r="E489" s="7">
        <v>1</v>
      </c>
      <c r="F489" s="7">
        <v>4</v>
      </c>
      <c r="G489" s="1" t="s">
        <v>652</v>
      </c>
    </row>
    <row x14ac:dyDescent="0.25" r="490" customHeight="1" ht="18.75">
      <c r="A490" s="7">
        <v>2</v>
      </c>
      <c r="B490" s="1" t="s">
        <v>554</v>
      </c>
      <c r="C490" s="1" t="s">
        <v>962</v>
      </c>
      <c r="D490" s="7">
        <v>1</v>
      </c>
      <c r="E490" s="7">
        <v>1</v>
      </c>
      <c r="F490" s="7">
        <v>2</v>
      </c>
      <c r="G490" s="1" t="s">
        <v>652</v>
      </c>
    </row>
    <row x14ac:dyDescent="0.25" r="491" customHeight="1" ht="18.75">
      <c r="A491" s="7">
        <v>2</v>
      </c>
      <c r="B491" s="1" t="s">
        <v>518</v>
      </c>
      <c r="C491" s="1" t="s">
        <v>946</v>
      </c>
      <c r="D491" s="7">
        <v>15</v>
      </c>
      <c r="E491" s="7">
        <v>15</v>
      </c>
      <c r="F491" s="7">
        <v>30</v>
      </c>
      <c r="G491" s="1" t="s">
        <v>652</v>
      </c>
    </row>
    <row x14ac:dyDescent="0.25" r="492" customHeight="1" ht="18.75">
      <c r="A492" s="7">
        <v>2</v>
      </c>
      <c r="B492" s="1" t="s">
        <v>582</v>
      </c>
      <c r="C492" s="1" t="s">
        <v>963</v>
      </c>
      <c r="D492" s="7">
        <v>2</v>
      </c>
      <c r="E492" s="7">
        <v>2</v>
      </c>
      <c r="F492" s="7">
        <v>4</v>
      </c>
      <c r="G492" s="1" t="s">
        <v>652</v>
      </c>
    </row>
    <row x14ac:dyDescent="0.25" r="493" customHeight="1" ht="18.75">
      <c r="A493" s="7">
        <v>2</v>
      </c>
      <c r="B493" s="1" t="s">
        <v>607</v>
      </c>
      <c r="C493" s="1" t="s">
        <v>964</v>
      </c>
      <c r="D493" s="7">
        <v>1</v>
      </c>
      <c r="E493" s="7">
        <v>1</v>
      </c>
      <c r="F493" s="7">
        <v>2</v>
      </c>
      <c r="G493" s="1" t="s">
        <v>652</v>
      </c>
    </row>
    <row x14ac:dyDescent="0.25" r="494" customHeight="1" ht="18.75">
      <c r="A494" s="7">
        <v>2</v>
      </c>
      <c r="B494" s="1" t="s">
        <v>607</v>
      </c>
      <c r="C494" s="1" t="s">
        <v>965</v>
      </c>
      <c r="D494" s="7">
        <v>1</v>
      </c>
      <c r="E494" s="7">
        <v>1</v>
      </c>
      <c r="F494" s="7">
        <v>2</v>
      </c>
      <c r="G494" s="1" t="s">
        <v>652</v>
      </c>
    </row>
    <row x14ac:dyDescent="0.25" r="495" customHeight="1" ht="18.75">
      <c r="A495" s="7">
        <v>2</v>
      </c>
      <c r="B495" s="1" t="s">
        <v>607</v>
      </c>
      <c r="C495" s="1" t="s">
        <v>966</v>
      </c>
      <c r="D495" s="7">
        <v>2</v>
      </c>
      <c r="E495" s="7">
        <v>2</v>
      </c>
      <c r="F495" s="7">
        <v>4</v>
      </c>
      <c r="G495" s="1" t="s">
        <v>652</v>
      </c>
    </row>
    <row x14ac:dyDescent="0.25" r="496" customHeight="1" ht="18.75">
      <c r="A496" s="7">
        <v>2</v>
      </c>
      <c r="B496" s="1" t="s">
        <v>607</v>
      </c>
      <c r="C496" s="1" t="s">
        <v>967</v>
      </c>
      <c r="D496" s="7">
        <v>1</v>
      </c>
      <c r="E496" s="7">
        <v>1</v>
      </c>
      <c r="F496" s="7">
        <v>2</v>
      </c>
      <c r="G496" s="1" t="s">
        <v>652</v>
      </c>
    </row>
    <row x14ac:dyDescent="0.25" r="497" customHeight="1" ht="18.75">
      <c r="A497" s="7">
        <v>2</v>
      </c>
      <c r="B497" s="1" t="s">
        <v>607</v>
      </c>
      <c r="C497" s="1" t="s">
        <v>968</v>
      </c>
      <c r="D497" s="7">
        <v>1</v>
      </c>
      <c r="E497" s="7">
        <v>1</v>
      </c>
      <c r="F497" s="7">
        <v>2</v>
      </c>
      <c r="G497" s="1" t="s">
        <v>652</v>
      </c>
    </row>
    <row x14ac:dyDescent="0.25" r="498" customHeight="1" ht="18.75">
      <c r="A498" s="7">
        <v>2</v>
      </c>
      <c r="B498" s="1" t="s">
        <v>607</v>
      </c>
      <c r="C498" s="1" t="s">
        <v>969</v>
      </c>
      <c r="D498" s="7">
        <v>1</v>
      </c>
      <c r="E498" s="7">
        <v>1</v>
      </c>
      <c r="F498" s="7">
        <v>2</v>
      </c>
      <c r="G498" s="1" t="s">
        <v>652</v>
      </c>
    </row>
    <row x14ac:dyDescent="0.25" r="499" customHeight="1" ht="18.75">
      <c r="A499" s="7">
        <v>2</v>
      </c>
      <c r="B499" s="1" t="s">
        <v>520</v>
      </c>
      <c r="C499" s="1" t="s">
        <v>970</v>
      </c>
      <c r="D499" s="7">
        <v>13</v>
      </c>
      <c r="E499" s="7">
        <v>2</v>
      </c>
      <c r="F499" s="7">
        <v>15</v>
      </c>
      <c r="G499" s="1" t="s">
        <v>652</v>
      </c>
    </row>
    <row x14ac:dyDescent="0.25" r="500" customHeight="1" ht="18.75">
      <c r="A500" s="7">
        <v>2</v>
      </c>
      <c r="B500" s="2" t="s">
        <v>556</v>
      </c>
      <c r="C500" s="1" t="s">
        <v>971</v>
      </c>
      <c r="D500" s="7">
        <v>1</v>
      </c>
      <c r="E500" s="7">
        <v>1</v>
      </c>
      <c r="F500" s="7">
        <v>2</v>
      </c>
      <c r="G500" s="1" t="s">
        <v>652</v>
      </c>
    </row>
    <row x14ac:dyDescent="0.25" r="501" customHeight="1" ht="18.75">
      <c r="A501" s="7">
        <v>2</v>
      </c>
      <c r="B501" s="1" t="s">
        <v>522</v>
      </c>
      <c r="C501" s="1" t="s">
        <v>972</v>
      </c>
      <c r="D501" s="7">
        <v>3</v>
      </c>
      <c r="E501" s="7">
        <v>3</v>
      </c>
      <c r="F501" s="7">
        <v>6</v>
      </c>
      <c r="G501" s="1" t="s">
        <v>652</v>
      </c>
    </row>
    <row x14ac:dyDescent="0.25" r="502" customHeight="1" ht="18.75">
      <c r="A502" s="7">
        <v>2</v>
      </c>
      <c r="B502" s="1" t="s">
        <v>574</v>
      </c>
      <c r="C502" s="1" t="s">
        <v>942</v>
      </c>
      <c r="D502" s="7">
        <v>34</v>
      </c>
      <c r="E502" s="7">
        <v>3</v>
      </c>
      <c r="F502" s="7">
        <v>37</v>
      </c>
      <c r="G502" s="1" t="s">
        <v>652</v>
      </c>
    </row>
    <row x14ac:dyDescent="0.25" r="503" customHeight="1" ht="18.75">
      <c r="A503" s="7">
        <v>2</v>
      </c>
      <c r="B503" s="1" t="s">
        <v>524</v>
      </c>
      <c r="C503" s="1" t="s">
        <v>973</v>
      </c>
      <c r="D503" s="7">
        <v>6</v>
      </c>
      <c r="E503" s="7">
        <v>0</v>
      </c>
      <c r="F503" s="7">
        <v>6</v>
      </c>
      <c r="G503" s="1" t="s">
        <v>652</v>
      </c>
    </row>
    <row x14ac:dyDescent="0.25" r="504" customHeight="1" ht="18.75">
      <c r="A504" s="7">
        <v>2</v>
      </c>
      <c r="B504" s="1" t="s">
        <v>602</v>
      </c>
      <c r="C504" s="1" t="s">
        <v>974</v>
      </c>
      <c r="D504" s="7">
        <v>12</v>
      </c>
      <c r="E504" s="7">
        <v>0</v>
      </c>
      <c r="F504" s="7">
        <v>12</v>
      </c>
      <c r="G504" s="1" t="s">
        <v>652</v>
      </c>
    </row>
    <row x14ac:dyDescent="0.25" r="505" customHeight="1" ht="18.75">
      <c r="A505" s="7">
        <v>2</v>
      </c>
      <c r="B505" s="1" t="s">
        <v>602</v>
      </c>
      <c r="C505" s="1" t="s">
        <v>975</v>
      </c>
      <c r="D505" s="7">
        <v>24</v>
      </c>
      <c r="E505" s="7">
        <v>147</v>
      </c>
      <c r="F505" s="7">
        <v>171</v>
      </c>
      <c r="G505" s="1" t="s">
        <v>652</v>
      </c>
    </row>
    <row x14ac:dyDescent="0.25" r="506" customHeight="1" ht="18.75">
      <c r="A506" s="7">
        <v>2</v>
      </c>
      <c r="B506" s="1" t="s">
        <v>602</v>
      </c>
      <c r="C506" s="1" t="s">
        <v>976</v>
      </c>
      <c r="D506" s="7">
        <v>3</v>
      </c>
      <c r="E506" s="7">
        <v>0</v>
      </c>
      <c r="F506" s="7">
        <v>3</v>
      </c>
      <c r="G506" s="1" t="s">
        <v>652</v>
      </c>
    </row>
    <row x14ac:dyDescent="0.25" r="507" customHeight="1" ht="18.75">
      <c r="A507" s="7">
        <v>2</v>
      </c>
      <c r="B507" s="1" t="s">
        <v>558</v>
      </c>
      <c r="C507" s="1" t="s">
        <v>977</v>
      </c>
      <c r="D507" s="7">
        <v>5</v>
      </c>
      <c r="E507" s="7">
        <v>5</v>
      </c>
      <c r="F507" s="7">
        <v>10</v>
      </c>
      <c r="G507" s="1" t="s">
        <v>652</v>
      </c>
    </row>
    <row x14ac:dyDescent="0.25" r="508" customHeight="1" ht="18.75">
      <c r="A508" s="7">
        <v>2</v>
      </c>
      <c r="B508" s="1" t="s">
        <v>526</v>
      </c>
      <c r="C508" s="1" t="s">
        <v>978</v>
      </c>
      <c r="D508" s="7">
        <v>6</v>
      </c>
      <c r="E508" s="7">
        <v>1</v>
      </c>
      <c r="F508" s="7">
        <v>7</v>
      </c>
      <c r="G508" s="1" t="s">
        <v>652</v>
      </c>
    </row>
    <row x14ac:dyDescent="0.25" r="509" customHeight="1" ht="18.75">
      <c r="A509" s="7">
        <v>2</v>
      </c>
      <c r="B509" s="1" t="s">
        <v>590</v>
      </c>
      <c r="C509" s="1" t="s">
        <v>979</v>
      </c>
      <c r="D509" s="7">
        <v>5</v>
      </c>
      <c r="E509" s="7">
        <v>1</v>
      </c>
      <c r="F509" s="7">
        <v>6</v>
      </c>
      <c r="G509" s="1" t="s">
        <v>652</v>
      </c>
    </row>
    <row x14ac:dyDescent="0.25" r="510" customHeight="1" ht="18.75">
      <c r="A510" s="7">
        <v>2</v>
      </c>
      <c r="B510" s="1" t="s">
        <v>528</v>
      </c>
      <c r="C510" s="1" t="s">
        <v>980</v>
      </c>
      <c r="D510" s="7">
        <v>7</v>
      </c>
      <c r="E510" s="7">
        <v>0</v>
      </c>
      <c r="F510" s="7">
        <v>7</v>
      </c>
      <c r="G510" s="1" t="s">
        <v>652</v>
      </c>
    </row>
    <row x14ac:dyDescent="0.25" r="511" customHeight="1" ht="18.75">
      <c r="A511" s="7">
        <v>2</v>
      </c>
      <c r="B511" s="1" t="s">
        <v>603</v>
      </c>
      <c r="C511" s="1" t="s">
        <v>981</v>
      </c>
      <c r="D511" s="7">
        <v>1</v>
      </c>
      <c r="E511" s="7">
        <v>0</v>
      </c>
      <c r="F511" s="7">
        <v>1</v>
      </c>
      <c r="G511" s="1" t="s">
        <v>652</v>
      </c>
    </row>
    <row x14ac:dyDescent="0.25" r="512" customHeight="1" ht="18.75">
      <c r="A512" s="7">
        <v>2</v>
      </c>
      <c r="B512" s="1" t="s">
        <v>603</v>
      </c>
      <c r="C512" s="1" t="s">
        <v>982</v>
      </c>
      <c r="D512" s="7">
        <v>20</v>
      </c>
      <c r="E512" s="7">
        <v>4</v>
      </c>
      <c r="F512" s="7">
        <v>24</v>
      </c>
      <c r="G512" s="1" t="s">
        <v>652</v>
      </c>
    </row>
    <row x14ac:dyDescent="0.25" r="513" customHeight="1" ht="18.75">
      <c r="A513" s="7">
        <v>2</v>
      </c>
      <c r="B513" s="1" t="s">
        <v>603</v>
      </c>
      <c r="C513" s="1" t="s">
        <v>983</v>
      </c>
      <c r="D513" s="7">
        <v>8</v>
      </c>
      <c r="E513" s="7">
        <v>5</v>
      </c>
      <c r="F513" s="7">
        <v>13</v>
      </c>
      <c r="G513" s="1" t="s">
        <v>652</v>
      </c>
    </row>
    <row x14ac:dyDescent="0.25" r="514" customHeight="1" ht="18.75">
      <c r="A514" s="7">
        <v>2</v>
      </c>
      <c r="B514" s="1" t="s">
        <v>560</v>
      </c>
      <c r="C514" s="1" t="s">
        <v>984</v>
      </c>
      <c r="D514" s="7">
        <v>5</v>
      </c>
      <c r="E514" s="7">
        <v>2</v>
      </c>
      <c r="F514" s="7">
        <v>7</v>
      </c>
      <c r="G514" s="1" t="s">
        <v>652</v>
      </c>
    </row>
    <row x14ac:dyDescent="0.25" r="515" customHeight="1" ht="18.75">
      <c r="A515" s="7">
        <v>2</v>
      </c>
      <c r="B515" s="1" t="s">
        <v>530</v>
      </c>
      <c r="C515" s="1" t="s">
        <v>985</v>
      </c>
      <c r="D515" s="7">
        <v>56</v>
      </c>
      <c r="E515" s="7">
        <v>43</v>
      </c>
      <c r="F515" s="7">
        <v>99</v>
      </c>
      <c r="G515" s="1" t="s">
        <v>652</v>
      </c>
    </row>
    <row x14ac:dyDescent="0.25" r="516" customHeight="1" ht="18.75">
      <c r="A516" s="7">
        <v>2</v>
      </c>
      <c r="B516" s="2" t="s">
        <v>601</v>
      </c>
      <c r="C516" s="1" t="s">
        <v>986</v>
      </c>
      <c r="D516" s="7">
        <v>15</v>
      </c>
      <c r="E516" s="7">
        <v>2</v>
      </c>
      <c r="F516" s="7">
        <v>17</v>
      </c>
      <c r="G516" s="1" t="s">
        <v>652</v>
      </c>
    </row>
    <row x14ac:dyDescent="0.25" r="517" customHeight="1" ht="18.75">
      <c r="A517" s="7">
        <v>2</v>
      </c>
      <c r="B517" s="2" t="s">
        <v>601</v>
      </c>
      <c r="C517" s="1" t="s">
        <v>987</v>
      </c>
      <c r="D517" s="7">
        <v>1</v>
      </c>
      <c r="E517" s="7">
        <v>25</v>
      </c>
      <c r="F517" s="7">
        <v>26</v>
      </c>
      <c r="G517" s="1" t="s">
        <v>652</v>
      </c>
    </row>
    <row x14ac:dyDescent="0.25" r="518" customHeight="1" ht="18.75">
      <c r="A518" s="7">
        <v>2</v>
      </c>
      <c r="B518" s="2" t="s">
        <v>601</v>
      </c>
      <c r="C518" s="1" t="s">
        <v>988</v>
      </c>
      <c r="D518" s="7">
        <v>1</v>
      </c>
      <c r="E518" s="7">
        <v>22</v>
      </c>
      <c r="F518" s="7">
        <v>23</v>
      </c>
      <c r="G518" s="1" t="s">
        <v>652</v>
      </c>
    </row>
    <row x14ac:dyDescent="0.25" r="519" customHeight="1" ht="18.75">
      <c r="A519" s="7">
        <v>2</v>
      </c>
      <c r="B519" s="1" t="s">
        <v>576</v>
      </c>
      <c r="C519" s="1" t="s">
        <v>989</v>
      </c>
      <c r="D519" s="7">
        <v>2</v>
      </c>
      <c r="E519" s="7">
        <v>2</v>
      </c>
      <c r="F519" s="7">
        <v>4</v>
      </c>
      <c r="G519" s="1" t="s">
        <v>652</v>
      </c>
    </row>
    <row x14ac:dyDescent="0.25" r="520" customHeight="1" ht="18.75">
      <c r="A520" s="7">
        <v>2</v>
      </c>
      <c r="B520" s="1" t="s">
        <v>532</v>
      </c>
      <c r="C520" s="1" t="s">
        <v>990</v>
      </c>
      <c r="D520" s="7">
        <v>22</v>
      </c>
      <c r="E520" s="7">
        <v>0</v>
      </c>
      <c r="F520" s="7">
        <v>22</v>
      </c>
      <c r="G520" s="1" t="s">
        <v>652</v>
      </c>
    </row>
    <row x14ac:dyDescent="0.25" r="521" customHeight="1" ht="18.75">
      <c r="A521" s="7">
        <v>2</v>
      </c>
      <c r="B521" s="1" t="s">
        <v>610</v>
      </c>
      <c r="C521" s="1" t="s">
        <v>991</v>
      </c>
      <c r="D521" s="7">
        <v>0</v>
      </c>
      <c r="E521" s="7">
        <v>15</v>
      </c>
      <c r="F521" s="7">
        <v>15</v>
      </c>
      <c r="G521" s="1" t="s">
        <v>652</v>
      </c>
    </row>
    <row x14ac:dyDescent="0.25" r="522" customHeight="1" ht="18.75">
      <c r="A522" s="7">
        <v>2</v>
      </c>
      <c r="B522" s="1" t="s">
        <v>610</v>
      </c>
      <c r="C522" s="1" t="s">
        <v>946</v>
      </c>
      <c r="D522" s="7">
        <v>17</v>
      </c>
      <c r="E522" s="7">
        <v>0</v>
      </c>
      <c r="F522" s="7">
        <v>17</v>
      </c>
      <c r="G522" s="1" t="s">
        <v>652</v>
      </c>
    </row>
    <row x14ac:dyDescent="0.25" r="523" customHeight="1" ht="18.75">
      <c r="A523" s="7">
        <v>2</v>
      </c>
      <c r="B523" s="1" t="s">
        <v>610</v>
      </c>
      <c r="C523" s="1" t="s">
        <v>992</v>
      </c>
      <c r="D523" s="7">
        <v>4</v>
      </c>
      <c r="E523" s="7">
        <v>3</v>
      </c>
      <c r="F523" s="7">
        <v>7</v>
      </c>
      <c r="G523" s="1" t="s">
        <v>652</v>
      </c>
    </row>
    <row x14ac:dyDescent="0.25" r="524" customHeight="1" ht="18.75">
      <c r="A524" s="7">
        <v>2</v>
      </c>
      <c r="B524" s="1" t="s">
        <v>610</v>
      </c>
      <c r="C524" s="1" t="s">
        <v>993</v>
      </c>
      <c r="D524" s="7">
        <v>3</v>
      </c>
      <c r="E524" s="7">
        <v>3</v>
      </c>
      <c r="F524" s="7">
        <v>6</v>
      </c>
      <c r="G524" s="1" t="s">
        <v>652</v>
      </c>
    </row>
    <row x14ac:dyDescent="0.25" r="525" customHeight="1" ht="18.75">
      <c r="A525" s="7">
        <v>2</v>
      </c>
      <c r="B525" s="1" t="s">
        <v>610</v>
      </c>
      <c r="C525" s="1" t="s">
        <v>994</v>
      </c>
      <c r="D525" s="7">
        <v>0</v>
      </c>
      <c r="E525" s="7">
        <v>3</v>
      </c>
      <c r="F525" s="7">
        <v>3</v>
      </c>
      <c r="G525" s="1" t="s">
        <v>652</v>
      </c>
    </row>
    <row x14ac:dyDescent="0.25" r="526" customHeight="1" ht="18.75">
      <c r="A526" s="7">
        <v>2</v>
      </c>
      <c r="B526" s="1" t="s">
        <v>610</v>
      </c>
      <c r="C526" s="1" t="s">
        <v>995</v>
      </c>
      <c r="D526" s="7">
        <v>0</v>
      </c>
      <c r="E526" s="7">
        <v>3</v>
      </c>
      <c r="F526" s="7">
        <v>3</v>
      </c>
      <c r="G526" s="1" t="s">
        <v>652</v>
      </c>
    </row>
    <row x14ac:dyDescent="0.25" r="527" customHeight="1" ht="18.75">
      <c r="A527" s="7">
        <v>2</v>
      </c>
      <c r="B527" s="1" t="s">
        <v>610</v>
      </c>
      <c r="C527" s="1" t="s">
        <v>996</v>
      </c>
      <c r="D527" s="7">
        <v>16</v>
      </c>
      <c r="E527" s="7">
        <v>0</v>
      </c>
      <c r="F527" s="7">
        <v>16</v>
      </c>
      <c r="G527" s="1" t="s">
        <v>652</v>
      </c>
    </row>
    <row x14ac:dyDescent="0.25" r="528" customHeight="1" ht="18.75">
      <c r="A528" s="7">
        <v>2</v>
      </c>
      <c r="B528" s="1" t="s">
        <v>610</v>
      </c>
      <c r="C528" s="1" t="s">
        <v>997</v>
      </c>
      <c r="D528" s="7">
        <v>1</v>
      </c>
      <c r="E528" s="7">
        <v>1</v>
      </c>
      <c r="F528" s="7">
        <v>2</v>
      </c>
      <c r="G528" s="1" t="s">
        <v>652</v>
      </c>
    </row>
    <row x14ac:dyDescent="0.25" r="529" customHeight="1" ht="18.75">
      <c r="A529" s="7">
        <v>2</v>
      </c>
      <c r="B529" s="1" t="s">
        <v>610</v>
      </c>
      <c r="C529" s="1" t="s">
        <v>998</v>
      </c>
      <c r="D529" s="7">
        <v>1</v>
      </c>
      <c r="E529" s="7">
        <v>1</v>
      </c>
      <c r="F529" s="7">
        <v>2</v>
      </c>
      <c r="G529" s="1" t="s">
        <v>652</v>
      </c>
    </row>
    <row x14ac:dyDescent="0.25" r="530" customHeight="1" ht="18.75">
      <c r="A530" s="7">
        <v>2</v>
      </c>
      <c r="B530" s="1" t="s">
        <v>610</v>
      </c>
      <c r="C530" s="1" t="s">
        <v>999</v>
      </c>
      <c r="D530" s="7">
        <v>49</v>
      </c>
      <c r="E530" s="7">
        <v>0</v>
      </c>
      <c r="F530" s="7">
        <v>49</v>
      </c>
      <c r="G530" s="1" t="s">
        <v>721</v>
      </c>
    </row>
    <row x14ac:dyDescent="0.25" r="531" customHeight="1" ht="18.75">
      <c r="A531" s="7">
        <v>2</v>
      </c>
      <c r="B531" s="1" t="s">
        <v>610</v>
      </c>
      <c r="C531" s="1" t="s">
        <v>1000</v>
      </c>
      <c r="D531" s="7">
        <v>1</v>
      </c>
      <c r="E531" s="7">
        <v>1</v>
      </c>
      <c r="F531" s="7">
        <v>2</v>
      </c>
      <c r="G531" s="1" t="s">
        <v>652</v>
      </c>
    </row>
    <row x14ac:dyDescent="0.25" r="532" customHeight="1" ht="18.75">
      <c r="A532" s="7">
        <v>2</v>
      </c>
      <c r="B532" s="1" t="s">
        <v>562</v>
      </c>
      <c r="C532" s="1" t="s">
        <v>1001</v>
      </c>
      <c r="D532" s="7">
        <v>2</v>
      </c>
      <c r="E532" s="7">
        <v>0</v>
      </c>
      <c r="F532" s="7">
        <v>2</v>
      </c>
      <c r="G532" s="1" t="s">
        <v>652</v>
      </c>
    </row>
    <row x14ac:dyDescent="0.25" r="533" customHeight="1" ht="18.75">
      <c r="A533" s="7">
        <v>2</v>
      </c>
      <c r="B533" s="1" t="s">
        <v>534</v>
      </c>
      <c r="C533" s="1" t="s">
        <v>1002</v>
      </c>
      <c r="D533" s="7">
        <v>21</v>
      </c>
      <c r="E533" s="7">
        <v>22</v>
      </c>
      <c r="F533" s="7">
        <v>43</v>
      </c>
      <c r="G533" s="1" t="s">
        <v>652</v>
      </c>
    </row>
    <row x14ac:dyDescent="0.25" r="534" customHeight="1" ht="18.75">
      <c r="A534" s="7">
        <v>2</v>
      </c>
      <c r="B534" s="1" t="s">
        <v>584</v>
      </c>
      <c r="C534" s="1" t="s">
        <v>1003</v>
      </c>
      <c r="D534" s="7">
        <v>16</v>
      </c>
      <c r="E534" s="7">
        <v>15</v>
      </c>
      <c r="F534" s="7">
        <v>31</v>
      </c>
      <c r="G534" s="1" t="s">
        <v>652</v>
      </c>
    </row>
    <row x14ac:dyDescent="0.25" r="535" customHeight="1" ht="18.75">
      <c r="A535" s="7">
        <v>2</v>
      </c>
      <c r="B535" s="1" t="s">
        <v>536</v>
      </c>
      <c r="C535" s="1" t="s">
        <v>1004</v>
      </c>
      <c r="D535" s="7">
        <v>1</v>
      </c>
      <c r="E535" s="7">
        <v>1</v>
      </c>
      <c r="F535" s="7">
        <v>2</v>
      </c>
      <c r="G535" s="1" t="s">
        <v>652</v>
      </c>
    </row>
    <row x14ac:dyDescent="0.25" r="536" customHeight="1" ht="18.75">
      <c r="A536" s="7">
        <v>2</v>
      </c>
      <c r="B536" s="1" t="s">
        <v>564</v>
      </c>
      <c r="C536" s="1" t="s">
        <v>1005</v>
      </c>
      <c r="D536" s="7">
        <v>1</v>
      </c>
      <c r="E536" s="7">
        <v>1</v>
      </c>
      <c r="F536" s="7">
        <v>2</v>
      </c>
      <c r="G536" s="1" t="s">
        <v>652</v>
      </c>
    </row>
    <row x14ac:dyDescent="0.25" r="537" customHeight="1" ht="18.75">
      <c r="A537" s="7">
        <v>2</v>
      </c>
      <c r="B537" s="1" t="s">
        <v>604</v>
      </c>
      <c r="C537" s="1" t="s">
        <v>946</v>
      </c>
      <c r="D537" s="7">
        <v>4</v>
      </c>
      <c r="E537" s="7">
        <v>3</v>
      </c>
      <c r="F537" s="7">
        <v>7</v>
      </c>
      <c r="G537" s="1" t="s">
        <v>652</v>
      </c>
    </row>
    <row x14ac:dyDescent="0.25" r="538" customHeight="1" ht="18.75">
      <c r="A538" s="7">
        <v>2</v>
      </c>
      <c r="B538" s="1" t="s">
        <v>604</v>
      </c>
      <c r="C538" s="1" t="s">
        <v>1006</v>
      </c>
      <c r="D538" s="7">
        <v>0</v>
      </c>
      <c r="E538" s="7">
        <v>9</v>
      </c>
      <c r="F538" s="7">
        <v>9</v>
      </c>
      <c r="G538" s="1" t="s">
        <v>652</v>
      </c>
    </row>
    <row x14ac:dyDescent="0.25" r="539" customHeight="1" ht="18.75">
      <c r="A539" s="7">
        <v>2</v>
      </c>
      <c r="B539" s="1" t="s">
        <v>604</v>
      </c>
      <c r="C539" s="1" t="s">
        <v>998</v>
      </c>
      <c r="D539" s="7">
        <v>30</v>
      </c>
      <c r="E539" s="7">
        <v>0</v>
      </c>
      <c r="F539" s="7">
        <v>30</v>
      </c>
      <c r="G539" s="1" t="s">
        <v>652</v>
      </c>
    </row>
    <row x14ac:dyDescent="0.25" r="540" customHeight="1" ht="18.75">
      <c r="A540" s="7">
        <v>2</v>
      </c>
      <c r="B540" s="1" t="s">
        <v>538</v>
      </c>
      <c r="C540" s="1" t="s">
        <v>1007</v>
      </c>
      <c r="D540" s="7">
        <v>6</v>
      </c>
      <c r="E540" s="7">
        <v>1</v>
      </c>
      <c r="F540" s="7">
        <v>7</v>
      </c>
      <c r="G540" s="1" t="s">
        <v>652</v>
      </c>
    </row>
    <row x14ac:dyDescent="0.25" r="541" customHeight="1" ht="18.75">
      <c r="A541" s="7">
        <v>2</v>
      </c>
      <c r="B541" s="1" t="s">
        <v>578</v>
      </c>
      <c r="C541" s="1" t="s">
        <v>1000</v>
      </c>
      <c r="D541" s="7">
        <v>13</v>
      </c>
      <c r="E541" s="7">
        <v>1</v>
      </c>
      <c r="F541" s="7">
        <v>14</v>
      </c>
      <c r="G541" s="1" t="s">
        <v>652</v>
      </c>
    </row>
    <row x14ac:dyDescent="0.25" r="542" customHeight="1" ht="18.75">
      <c r="A542" s="7">
        <v>2</v>
      </c>
      <c r="B542" s="1" t="s">
        <v>540</v>
      </c>
      <c r="C542" s="1" t="s">
        <v>1008</v>
      </c>
      <c r="D542" s="7">
        <v>6</v>
      </c>
      <c r="E542" s="7">
        <v>0</v>
      </c>
      <c r="F542" s="7">
        <v>6</v>
      </c>
      <c r="G542" s="1" t="s">
        <v>652</v>
      </c>
    </row>
    <row x14ac:dyDescent="0.25" r="543" customHeight="1" ht="18.75">
      <c r="A543" s="7">
        <v>2</v>
      </c>
      <c r="B543" s="1" t="s">
        <v>566</v>
      </c>
      <c r="C543" s="1" t="s">
        <v>1009</v>
      </c>
      <c r="D543" s="7">
        <v>1</v>
      </c>
      <c r="E543" s="7">
        <v>0</v>
      </c>
      <c r="F543" s="7">
        <v>1</v>
      </c>
      <c r="G543" s="1" t="s">
        <v>652</v>
      </c>
    </row>
    <row x14ac:dyDescent="0.25" r="544" customHeight="1" ht="18.75">
      <c r="A544" s="7">
        <v>2</v>
      </c>
      <c r="B544" s="1" t="s">
        <v>542</v>
      </c>
      <c r="C544" s="1" t="s">
        <v>1010</v>
      </c>
      <c r="D544" s="7">
        <v>4</v>
      </c>
      <c r="E544" s="7">
        <v>2</v>
      </c>
      <c r="F544" s="7">
        <v>6</v>
      </c>
      <c r="G544" s="1" t="s">
        <v>652</v>
      </c>
    </row>
    <row x14ac:dyDescent="0.25" r="545" customHeight="1" ht="18.75">
      <c r="A545" s="7">
        <v>2</v>
      </c>
      <c r="B545" s="1" t="s">
        <v>588</v>
      </c>
      <c r="C545" s="1" t="s">
        <v>1000</v>
      </c>
      <c r="D545" s="7">
        <v>13</v>
      </c>
      <c r="E545" s="7">
        <v>1</v>
      </c>
      <c r="F545" s="7">
        <v>14</v>
      </c>
      <c r="G545" s="1" t="s">
        <v>652</v>
      </c>
    </row>
    <row x14ac:dyDescent="0.25" r="546" customHeight="1" ht="18.75">
      <c r="A546" s="7">
        <v>2</v>
      </c>
      <c r="B546" s="1" t="s">
        <v>544</v>
      </c>
      <c r="C546" s="1" t="s">
        <v>1011</v>
      </c>
      <c r="D546" s="7">
        <v>3</v>
      </c>
      <c r="E546" s="7">
        <v>5</v>
      </c>
      <c r="F546" s="7">
        <v>8</v>
      </c>
      <c r="G546" s="1" t="s">
        <v>652</v>
      </c>
    </row>
    <row x14ac:dyDescent="0.25" r="547" customHeight="1" ht="18.75">
      <c r="A547" s="7">
        <v>2</v>
      </c>
      <c r="B547" s="1" t="s">
        <v>568</v>
      </c>
      <c r="C547" s="1" t="s">
        <v>1012</v>
      </c>
      <c r="D547" s="7">
        <v>1</v>
      </c>
      <c r="E547" s="7">
        <v>1</v>
      </c>
      <c r="F547" s="7">
        <v>2</v>
      </c>
      <c r="G547" s="1" t="s">
        <v>652</v>
      </c>
    </row>
    <row x14ac:dyDescent="0.25" r="548" customHeight="1" ht="18.75">
      <c r="A548" s="7">
        <v>2</v>
      </c>
      <c r="B548" s="1" t="s">
        <v>546</v>
      </c>
      <c r="C548" s="1" t="s">
        <v>1013</v>
      </c>
      <c r="D548" s="7">
        <v>3</v>
      </c>
      <c r="E548" s="7">
        <v>0</v>
      </c>
      <c r="F548" s="7">
        <v>3</v>
      </c>
      <c r="G548" s="1" t="s">
        <v>652</v>
      </c>
    </row>
    <row x14ac:dyDescent="0.25" r="549" customHeight="1" ht="18.75">
      <c r="A549" s="7">
        <v>2</v>
      </c>
      <c r="B549" s="1" t="s">
        <v>493</v>
      </c>
      <c r="C549" s="1" t="s">
        <v>1014</v>
      </c>
      <c r="D549" s="7">
        <v>4</v>
      </c>
      <c r="E549" s="7">
        <v>1</v>
      </c>
      <c r="F549" s="7">
        <v>5</v>
      </c>
      <c r="G549" s="1" t="s">
        <v>652</v>
      </c>
    </row>
    <row x14ac:dyDescent="0.25" r="550" customHeight="1" ht="18.75">
      <c r="A550" s="7">
        <v>2</v>
      </c>
      <c r="B550" s="1" t="s">
        <v>495</v>
      </c>
      <c r="C550" s="1" t="s">
        <v>940</v>
      </c>
      <c r="D550" s="7">
        <v>10</v>
      </c>
      <c r="E550" s="7">
        <v>10</v>
      </c>
      <c r="F550" s="7">
        <v>20</v>
      </c>
      <c r="G550" s="1" t="s">
        <v>652</v>
      </c>
    </row>
    <row x14ac:dyDescent="0.25" r="551" customHeight="1" ht="18.75">
      <c r="A551" s="7">
        <v>2</v>
      </c>
      <c r="B551" s="1" t="s">
        <v>497</v>
      </c>
      <c r="C551" s="1" t="s">
        <v>1015</v>
      </c>
      <c r="D551" s="7">
        <v>4</v>
      </c>
      <c r="E551" s="7">
        <v>3</v>
      </c>
      <c r="F551" s="7">
        <v>7</v>
      </c>
      <c r="G551" s="1" t="s">
        <v>652</v>
      </c>
    </row>
    <row x14ac:dyDescent="0.25" r="552" customHeight="1" ht="18.75">
      <c r="A552" s="7">
        <v>2</v>
      </c>
      <c r="B552" s="1" t="s">
        <v>499</v>
      </c>
      <c r="C552" s="1" t="s">
        <v>1016</v>
      </c>
      <c r="D552" s="7">
        <v>6</v>
      </c>
      <c r="E552" s="7">
        <v>2</v>
      </c>
      <c r="F552" s="7">
        <v>8</v>
      </c>
      <c r="G552" s="1" t="s">
        <v>652</v>
      </c>
    </row>
    <row x14ac:dyDescent="0.25" r="553" customHeight="1" ht="18.75">
      <c r="A553" s="7">
        <v>2</v>
      </c>
      <c r="B553" s="1" t="s">
        <v>600</v>
      </c>
      <c r="C553" s="1" t="s">
        <v>946</v>
      </c>
      <c r="D553" s="7">
        <v>4</v>
      </c>
      <c r="E553" s="7">
        <v>3</v>
      </c>
      <c r="F553" s="7">
        <v>7</v>
      </c>
      <c r="G553" s="1" t="s">
        <v>652</v>
      </c>
    </row>
    <row x14ac:dyDescent="0.25" r="554" customHeight="1" ht="18.75">
      <c r="A554" s="7">
        <v>2</v>
      </c>
      <c r="B554" s="1" t="s">
        <v>600</v>
      </c>
      <c r="C554" s="1" t="s">
        <v>1006</v>
      </c>
      <c r="D554" s="7">
        <v>0</v>
      </c>
      <c r="E554" s="7">
        <v>9</v>
      </c>
      <c r="F554" s="7">
        <v>9</v>
      </c>
      <c r="G554" s="1" t="s">
        <v>652</v>
      </c>
    </row>
    <row x14ac:dyDescent="0.25" r="555" customHeight="1" ht="18.75">
      <c r="A555" s="7">
        <v>2</v>
      </c>
      <c r="B555" s="1" t="s">
        <v>600</v>
      </c>
      <c r="C555" s="1" t="s">
        <v>998</v>
      </c>
      <c r="D555" s="7">
        <v>30</v>
      </c>
      <c r="E555" s="7">
        <v>0</v>
      </c>
      <c r="F555" s="7">
        <v>30</v>
      </c>
      <c r="G555" s="1" t="s">
        <v>652</v>
      </c>
    </row>
    <row x14ac:dyDescent="0.25" r="556" customHeight="1" ht="18.75">
      <c r="A556" s="7">
        <v>2</v>
      </c>
      <c r="B556" s="1" t="s">
        <v>502</v>
      </c>
      <c r="C556" s="1" t="s">
        <v>1017</v>
      </c>
      <c r="D556" s="7">
        <v>14</v>
      </c>
      <c r="E556" s="7">
        <v>0</v>
      </c>
      <c r="F556" s="7">
        <v>14</v>
      </c>
      <c r="G556" s="1" t="s">
        <v>652</v>
      </c>
    </row>
    <row x14ac:dyDescent="0.25" r="557" customHeight="1" ht="18.75">
      <c r="A557" s="7">
        <v>2</v>
      </c>
      <c r="B557" s="1" t="s">
        <v>503</v>
      </c>
      <c r="C557" s="1" t="s">
        <v>1018</v>
      </c>
      <c r="D557" s="7">
        <v>1</v>
      </c>
      <c r="E557" s="7">
        <v>1</v>
      </c>
      <c r="F557" s="7">
        <v>2</v>
      </c>
      <c r="G557" s="1" t="s">
        <v>652</v>
      </c>
    </row>
    <row x14ac:dyDescent="0.25" r="558" customHeight="1" ht="18.75">
      <c r="A558" s="7">
        <v>2</v>
      </c>
      <c r="B558" s="1" t="s">
        <v>505</v>
      </c>
      <c r="C558" s="1" t="s">
        <v>1019</v>
      </c>
      <c r="D558" s="7">
        <v>13</v>
      </c>
      <c r="E558" s="7">
        <v>4</v>
      </c>
      <c r="F558" s="7">
        <v>17</v>
      </c>
      <c r="G558" s="1" t="s">
        <v>652</v>
      </c>
    </row>
    <row x14ac:dyDescent="0.25" r="559" customHeight="1" ht="18.75">
      <c r="A559" s="7">
        <v>2</v>
      </c>
      <c r="B559" s="1" t="s">
        <v>611</v>
      </c>
      <c r="C559" s="1" t="s">
        <v>991</v>
      </c>
      <c r="D559" s="7">
        <v>0</v>
      </c>
      <c r="E559" s="7">
        <v>15</v>
      </c>
      <c r="F559" s="7">
        <v>15</v>
      </c>
      <c r="G559" s="1" t="s">
        <v>652</v>
      </c>
    </row>
    <row x14ac:dyDescent="0.25" r="560" customHeight="1" ht="18.75">
      <c r="A560" s="7">
        <v>2</v>
      </c>
      <c r="B560" s="1" t="s">
        <v>611</v>
      </c>
      <c r="C560" s="1" t="s">
        <v>946</v>
      </c>
      <c r="D560" s="7">
        <v>17</v>
      </c>
      <c r="E560" s="7">
        <v>0</v>
      </c>
      <c r="F560" s="7">
        <v>17</v>
      </c>
      <c r="G560" s="1" t="s">
        <v>652</v>
      </c>
    </row>
    <row x14ac:dyDescent="0.25" r="561" customHeight="1" ht="18.75">
      <c r="A561" s="7">
        <v>2</v>
      </c>
      <c r="B561" s="1" t="s">
        <v>611</v>
      </c>
      <c r="C561" s="1" t="s">
        <v>992</v>
      </c>
      <c r="D561" s="7">
        <v>4</v>
      </c>
      <c r="E561" s="7">
        <v>3</v>
      </c>
      <c r="F561" s="7">
        <v>7</v>
      </c>
      <c r="G561" s="1" t="s">
        <v>652</v>
      </c>
    </row>
    <row x14ac:dyDescent="0.25" r="562" customHeight="1" ht="18.75">
      <c r="A562" s="7">
        <v>2</v>
      </c>
      <c r="B562" s="1" t="s">
        <v>611</v>
      </c>
      <c r="C562" s="1" t="s">
        <v>993</v>
      </c>
      <c r="D562" s="7">
        <v>3</v>
      </c>
      <c r="E562" s="7">
        <v>3</v>
      </c>
      <c r="F562" s="7">
        <v>6</v>
      </c>
      <c r="G562" s="1" t="s">
        <v>652</v>
      </c>
    </row>
    <row x14ac:dyDescent="0.25" r="563" customHeight="1" ht="18.75">
      <c r="A563" s="7">
        <v>2</v>
      </c>
      <c r="B563" s="1" t="s">
        <v>611</v>
      </c>
      <c r="C563" s="1" t="s">
        <v>994</v>
      </c>
      <c r="D563" s="7">
        <v>0</v>
      </c>
      <c r="E563" s="7">
        <v>3</v>
      </c>
      <c r="F563" s="7">
        <v>3</v>
      </c>
      <c r="G563" s="1" t="s">
        <v>652</v>
      </c>
    </row>
    <row x14ac:dyDescent="0.25" r="564" customHeight="1" ht="18.75">
      <c r="A564" s="7">
        <v>2</v>
      </c>
      <c r="B564" s="1" t="s">
        <v>611</v>
      </c>
      <c r="C564" s="1" t="s">
        <v>995</v>
      </c>
      <c r="D564" s="7">
        <v>0</v>
      </c>
      <c r="E564" s="7">
        <v>3</v>
      </c>
      <c r="F564" s="7">
        <v>3</v>
      </c>
      <c r="G564" s="1" t="s">
        <v>652</v>
      </c>
    </row>
    <row x14ac:dyDescent="0.25" r="565" customHeight="1" ht="18.75">
      <c r="A565" s="7">
        <v>2</v>
      </c>
      <c r="B565" s="1" t="s">
        <v>611</v>
      </c>
      <c r="C565" s="1" t="s">
        <v>996</v>
      </c>
      <c r="D565" s="7">
        <v>16</v>
      </c>
      <c r="E565" s="7">
        <v>0</v>
      </c>
      <c r="F565" s="7">
        <v>16</v>
      </c>
      <c r="G565" s="1" t="s">
        <v>652</v>
      </c>
    </row>
    <row x14ac:dyDescent="0.25" r="566" customHeight="1" ht="18.75">
      <c r="A566" s="7">
        <v>2</v>
      </c>
      <c r="B566" s="1" t="s">
        <v>611</v>
      </c>
      <c r="C566" s="1" t="s">
        <v>997</v>
      </c>
      <c r="D566" s="7">
        <v>1</v>
      </c>
      <c r="E566" s="7">
        <v>1</v>
      </c>
      <c r="F566" s="7">
        <v>2</v>
      </c>
      <c r="G566" s="1" t="s">
        <v>652</v>
      </c>
    </row>
    <row x14ac:dyDescent="0.25" r="567" customHeight="1" ht="18.75">
      <c r="A567" s="7">
        <v>2</v>
      </c>
      <c r="B567" s="1" t="s">
        <v>611</v>
      </c>
      <c r="C567" s="1" t="s">
        <v>998</v>
      </c>
      <c r="D567" s="7">
        <v>1</v>
      </c>
      <c r="E567" s="7">
        <v>1</v>
      </c>
      <c r="F567" s="7">
        <v>2</v>
      </c>
      <c r="G567" s="1" t="s">
        <v>652</v>
      </c>
    </row>
    <row x14ac:dyDescent="0.25" r="568" customHeight="1" ht="18.75">
      <c r="A568" s="7">
        <v>2</v>
      </c>
      <c r="B568" s="1" t="s">
        <v>611</v>
      </c>
      <c r="C568" s="1" t="s">
        <v>999</v>
      </c>
      <c r="D568" s="7">
        <v>49</v>
      </c>
      <c r="E568" s="7">
        <v>0</v>
      </c>
      <c r="F568" s="7">
        <v>49</v>
      </c>
      <c r="G568" s="1" t="s">
        <v>721</v>
      </c>
    </row>
    <row x14ac:dyDescent="0.25" r="569" customHeight="1" ht="18.75">
      <c r="A569" s="7">
        <v>2</v>
      </c>
      <c r="B569" s="1" t="s">
        <v>611</v>
      </c>
      <c r="C569" s="1" t="s">
        <v>1000</v>
      </c>
      <c r="D569" s="7">
        <v>1</v>
      </c>
      <c r="E569" s="7">
        <v>1</v>
      </c>
      <c r="F569" s="7">
        <v>2</v>
      </c>
      <c r="G569" s="1" t="s">
        <v>652</v>
      </c>
    </row>
    <row x14ac:dyDescent="0.25" r="570" customHeight="1" ht="18.75">
      <c r="A570" s="7">
        <v>2</v>
      </c>
      <c r="B570" s="1" t="s">
        <v>507</v>
      </c>
      <c r="C570" s="1" t="s">
        <v>1020</v>
      </c>
      <c r="D570" s="7">
        <v>31</v>
      </c>
      <c r="E570" s="7">
        <v>31</v>
      </c>
      <c r="F570" s="7">
        <v>62</v>
      </c>
      <c r="G570" s="1" t="s">
        <v>652</v>
      </c>
    </row>
    <row x14ac:dyDescent="0.25" r="571" customHeight="1" ht="18.75">
      <c r="A571" s="7">
        <v>2</v>
      </c>
      <c r="B571" s="1" t="s">
        <v>509</v>
      </c>
      <c r="C571" s="1" t="s">
        <v>1009</v>
      </c>
      <c r="D571" s="7">
        <v>2</v>
      </c>
      <c r="E571" s="7">
        <v>0</v>
      </c>
      <c r="F571" s="7">
        <v>2</v>
      </c>
      <c r="G571" s="1" t="s">
        <v>652</v>
      </c>
    </row>
    <row x14ac:dyDescent="0.25" r="572" customHeight="1" ht="18.75">
      <c r="A572" s="7">
        <v>2</v>
      </c>
      <c r="B572" s="1" t="s">
        <v>511</v>
      </c>
      <c r="C572" s="1" t="s">
        <v>1021</v>
      </c>
      <c r="D572" s="7">
        <v>9</v>
      </c>
      <c r="E572" s="7">
        <v>8</v>
      </c>
      <c r="F572" s="7">
        <v>17</v>
      </c>
      <c r="G572" s="1" t="s">
        <v>652</v>
      </c>
    </row>
    <row x14ac:dyDescent="0.25" r="573" customHeight="1" ht="18.75">
      <c r="A573" s="7">
        <v>2</v>
      </c>
      <c r="B573" s="1" t="s">
        <v>513</v>
      </c>
      <c r="C573" s="1" t="s">
        <v>1018</v>
      </c>
      <c r="D573" s="7">
        <v>1</v>
      </c>
      <c r="E573" s="7">
        <v>1</v>
      </c>
      <c r="F573" s="7">
        <v>2</v>
      </c>
      <c r="G573" s="1" t="s">
        <v>652</v>
      </c>
    </row>
    <row x14ac:dyDescent="0.25" r="574" customHeight="1" ht="18.75">
      <c r="A574" s="7">
        <v>2</v>
      </c>
      <c r="B574" s="1" t="s">
        <v>521</v>
      </c>
      <c r="C574" s="1" t="s">
        <v>1022</v>
      </c>
      <c r="D574" s="7">
        <v>1</v>
      </c>
      <c r="E574" s="7">
        <v>1</v>
      </c>
      <c r="F574" s="7">
        <v>2</v>
      </c>
      <c r="G574" s="1" t="s">
        <v>652</v>
      </c>
    </row>
    <row x14ac:dyDescent="0.25" r="575" customHeight="1" ht="18.75">
      <c r="A575" s="7">
        <v>2</v>
      </c>
      <c r="B575" s="1" t="s">
        <v>523</v>
      </c>
      <c r="C575" s="1" t="s">
        <v>971</v>
      </c>
      <c r="D575" s="7">
        <v>6</v>
      </c>
      <c r="E575" s="7">
        <v>7</v>
      </c>
      <c r="F575" s="7">
        <v>13</v>
      </c>
      <c r="G575" s="1" t="s">
        <v>652</v>
      </c>
    </row>
    <row x14ac:dyDescent="0.25" r="576" customHeight="1" ht="18.75">
      <c r="A576" s="7">
        <v>2</v>
      </c>
      <c r="B576" s="1" t="s">
        <v>525</v>
      </c>
      <c r="C576" s="1" t="s">
        <v>947</v>
      </c>
      <c r="D576" s="7">
        <v>9</v>
      </c>
      <c r="E576" s="7">
        <v>1</v>
      </c>
      <c r="F576" s="7">
        <v>10</v>
      </c>
      <c r="G576" s="1" t="s">
        <v>652</v>
      </c>
    </row>
    <row x14ac:dyDescent="0.25" r="577" customHeight="1" ht="18.75">
      <c r="A577" s="7">
        <v>2</v>
      </c>
      <c r="B577" s="1" t="s">
        <v>594</v>
      </c>
      <c r="C577" s="1" t="s">
        <v>1023</v>
      </c>
      <c r="D577" s="7">
        <v>3</v>
      </c>
      <c r="E577" s="7">
        <v>0</v>
      </c>
      <c r="F577" s="7">
        <v>3</v>
      </c>
      <c r="G577" s="1" t="s">
        <v>652</v>
      </c>
    </row>
    <row x14ac:dyDescent="0.25" r="578" customHeight="1" ht="18.75">
      <c r="A578" s="7">
        <v>2</v>
      </c>
      <c r="B578" s="1" t="s">
        <v>594</v>
      </c>
      <c r="C578" s="1" t="s">
        <v>941</v>
      </c>
      <c r="D578" s="7">
        <v>1</v>
      </c>
      <c r="E578" s="7">
        <v>1</v>
      </c>
      <c r="F578" s="7">
        <v>2</v>
      </c>
      <c r="G578" s="1" t="s">
        <v>652</v>
      </c>
    </row>
    <row x14ac:dyDescent="0.25" r="579" customHeight="1" ht="18.75">
      <c r="A579" s="7">
        <v>2</v>
      </c>
      <c r="B579" s="1" t="s">
        <v>527</v>
      </c>
      <c r="C579" s="1" t="s">
        <v>1024</v>
      </c>
      <c r="D579" s="7">
        <v>2</v>
      </c>
      <c r="E579" s="7">
        <v>3</v>
      </c>
      <c r="F579" s="7">
        <v>5</v>
      </c>
      <c r="G579" s="1" t="s">
        <v>652</v>
      </c>
    </row>
    <row x14ac:dyDescent="0.25" r="580" customHeight="1" ht="18.75">
      <c r="A580" s="7">
        <v>2</v>
      </c>
      <c r="B580" s="1" t="s">
        <v>529</v>
      </c>
      <c r="C580" s="1" t="s">
        <v>1025</v>
      </c>
      <c r="D580" s="7">
        <v>6</v>
      </c>
      <c r="E580" s="7">
        <v>3</v>
      </c>
      <c r="F580" s="7">
        <v>9</v>
      </c>
      <c r="G580" s="1" t="s">
        <v>652</v>
      </c>
    </row>
    <row x14ac:dyDescent="0.25" r="581" customHeight="1" ht="18.75">
      <c r="A581" s="7">
        <v>2</v>
      </c>
      <c r="B581" s="1" t="s">
        <v>531</v>
      </c>
      <c r="C581" s="1" t="s">
        <v>1026</v>
      </c>
      <c r="D581" s="7">
        <v>21</v>
      </c>
      <c r="E581" s="7">
        <v>4</v>
      </c>
      <c r="F581" s="7">
        <v>25</v>
      </c>
      <c r="G581" s="1" t="s">
        <v>652</v>
      </c>
    </row>
    <row x14ac:dyDescent="0.25" r="582" customHeight="1" ht="18.75">
      <c r="A582" s="7">
        <v>2</v>
      </c>
      <c r="B582" s="1" t="s">
        <v>533</v>
      </c>
      <c r="C582" s="1" t="s">
        <v>1027</v>
      </c>
      <c r="D582" s="7">
        <v>1</v>
      </c>
      <c r="E582" s="7">
        <v>0</v>
      </c>
      <c r="F582" s="7">
        <v>1</v>
      </c>
      <c r="G582" s="1" t="s">
        <v>652</v>
      </c>
    </row>
    <row x14ac:dyDescent="0.25" r="583" customHeight="1" ht="18.75">
      <c r="A583" s="7">
        <v>2</v>
      </c>
      <c r="B583" s="1" t="s">
        <v>535</v>
      </c>
      <c r="C583" s="1" t="s">
        <v>1028</v>
      </c>
      <c r="D583" s="7">
        <v>1</v>
      </c>
      <c r="E583" s="7">
        <v>1</v>
      </c>
      <c r="F583" s="7">
        <v>2</v>
      </c>
      <c r="G583" s="1" t="s">
        <v>652</v>
      </c>
    </row>
    <row x14ac:dyDescent="0.25" r="584" customHeight="1" ht="18.75">
      <c r="A584" s="7">
        <v>2</v>
      </c>
      <c r="B584" s="1" t="s">
        <v>537</v>
      </c>
      <c r="C584" s="1" t="s">
        <v>1029</v>
      </c>
      <c r="D584" s="7">
        <v>20</v>
      </c>
      <c r="E584" s="7">
        <v>3</v>
      </c>
      <c r="F584" s="7">
        <v>23</v>
      </c>
      <c r="G584" s="1" t="s">
        <v>652</v>
      </c>
    </row>
    <row x14ac:dyDescent="0.25" r="585" customHeight="1" ht="18.75">
      <c r="A585" s="7">
        <v>2</v>
      </c>
      <c r="B585" s="1" t="s">
        <v>539</v>
      </c>
      <c r="C585" s="1" t="s">
        <v>1030</v>
      </c>
      <c r="D585" s="7">
        <v>3</v>
      </c>
      <c r="E585" s="7">
        <v>0</v>
      </c>
      <c r="F585" s="7">
        <v>3</v>
      </c>
      <c r="G585" s="1" t="s">
        <v>652</v>
      </c>
    </row>
    <row x14ac:dyDescent="0.25" r="586" customHeight="1" ht="18.75">
      <c r="A586" s="7">
        <v>2</v>
      </c>
      <c r="B586" s="1" t="s">
        <v>541</v>
      </c>
      <c r="C586" s="1" t="s">
        <v>1031</v>
      </c>
      <c r="D586" s="7">
        <v>4</v>
      </c>
      <c r="E586" s="7">
        <v>0</v>
      </c>
      <c r="F586" s="7">
        <v>4</v>
      </c>
      <c r="G586" s="1" t="s">
        <v>652</v>
      </c>
    </row>
    <row x14ac:dyDescent="0.25" r="587" customHeight="1" ht="18.75">
      <c r="A587" s="7">
        <v>2</v>
      </c>
      <c r="B587" s="1" t="s">
        <v>543</v>
      </c>
      <c r="C587" s="1" t="s">
        <v>1032</v>
      </c>
      <c r="D587" s="7">
        <v>29</v>
      </c>
      <c r="E587" s="7">
        <v>35</v>
      </c>
      <c r="F587" s="7">
        <v>64</v>
      </c>
      <c r="G587" s="1" t="s">
        <v>652</v>
      </c>
    </row>
    <row x14ac:dyDescent="0.25" r="588" customHeight="1" ht="18.75">
      <c r="A588" s="7">
        <v>2</v>
      </c>
      <c r="B588" s="1" t="s">
        <v>545</v>
      </c>
      <c r="C588" s="1" t="s">
        <v>1033</v>
      </c>
      <c r="D588" s="7">
        <v>3</v>
      </c>
      <c r="E588" s="7">
        <v>0</v>
      </c>
      <c r="F588" s="7">
        <v>3</v>
      </c>
      <c r="G588" s="1" t="s">
        <v>652</v>
      </c>
    </row>
    <row x14ac:dyDescent="0.25" r="589" customHeight="1" ht="18.75">
      <c r="A589" s="7">
        <v>2</v>
      </c>
      <c r="B589" s="1" t="s">
        <v>547</v>
      </c>
      <c r="C589" s="1" t="s">
        <v>1018</v>
      </c>
      <c r="D589" s="7">
        <v>5</v>
      </c>
      <c r="E589" s="7">
        <v>0</v>
      </c>
      <c r="F589" s="7">
        <v>5</v>
      </c>
      <c r="G589" s="1" t="s">
        <v>652</v>
      </c>
    </row>
    <row x14ac:dyDescent="0.25" r="590" customHeight="1" ht="18.75">
      <c r="A590" s="7">
        <v>2</v>
      </c>
      <c r="B590" s="1" t="s">
        <v>609</v>
      </c>
      <c r="C590" s="1" t="s">
        <v>1034</v>
      </c>
      <c r="D590" s="7">
        <v>1</v>
      </c>
      <c r="E590" s="7">
        <v>1</v>
      </c>
      <c r="F590" s="7">
        <v>2</v>
      </c>
      <c r="G590" s="1" t="s">
        <v>652</v>
      </c>
    </row>
    <row x14ac:dyDescent="0.25" r="591" customHeight="1" ht="18.75">
      <c r="A591" s="7">
        <v>2</v>
      </c>
      <c r="B591" s="1" t="s">
        <v>609</v>
      </c>
      <c r="C591" s="1" t="s">
        <v>1035</v>
      </c>
      <c r="D591" s="7">
        <v>1</v>
      </c>
      <c r="E591" s="7">
        <v>1</v>
      </c>
      <c r="F591" s="7">
        <v>2</v>
      </c>
      <c r="G591" s="1" t="s">
        <v>652</v>
      </c>
    </row>
    <row x14ac:dyDescent="0.25" r="592" customHeight="1" ht="18.75">
      <c r="A592" s="7">
        <v>2</v>
      </c>
      <c r="B592" s="1" t="s">
        <v>609</v>
      </c>
      <c r="C592" s="1" t="s">
        <v>1036</v>
      </c>
      <c r="D592" s="7">
        <v>1</v>
      </c>
      <c r="E592" s="7">
        <v>1</v>
      </c>
      <c r="F592" s="7">
        <v>2</v>
      </c>
      <c r="G592" s="1" t="s">
        <v>652</v>
      </c>
    </row>
    <row x14ac:dyDescent="0.25" r="593" customHeight="1" ht="18.75">
      <c r="A593" s="7">
        <v>2</v>
      </c>
      <c r="B593" s="1" t="s">
        <v>609</v>
      </c>
      <c r="C593" s="1" t="s">
        <v>1037</v>
      </c>
      <c r="D593" s="7">
        <v>1</v>
      </c>
      <c r="E593" s="7">
        <v>1</v>
      </c>
      <c r="F593" s="7">
        <v>2</v>
      </c>
      <c r="G593" s="1" t="s">
        <v>652</v>
      </c>
    </row>
    <row x14ac:dyDescent="0.25" r="594" customHeight="1" ht="18.75">
      <c r="A594" s="7">
        <v>2</v>
      </c>
      <c r="B594" s="1" t="s">
        <v>609</v>
      </c>
      <c r="C594" s="1" t="s">
        <v>1038</v>
      </c>
      <c r="D594" s="7">
        <v>1</v>
      </c>
      <c r="E594" s="7">
        <v>1</v>
      </c>
      <c r="F594" s="7">
        <v>2</v>
      </c>
      <c r="G594" s="1" t="s">
        <v>652</v>
      </c>
    </row>
    <row x14ac:dyDescent="0.25" r="595" customHeight="1" ht="18.75">
      <c r="A595" s="7">
        <v>2</v>
      </c>
      <c r="B595" s="1" t="s">
        <v>609</v>
      </c>
      <c r="C595" s="1" t="s">
        <v>1039</v>
      </c>
      <c r="D595" s="7">
        <v>1</v>
      </c>
      <c r="E595" s="7">
        <v>1</v>
      </c>
      <c r="F595" s="7">
        <v>2</v>
      </c>
      <c r="G595" s="1" t="s">
        <v>652</v>
      </c>
    </row>
    <row x14ac:dyDescent="0.25" r="596" customHeight="1" ht="18.75">
      <c r="A596" s="7">
        <v>2</v>
      </c>
      <c r="B596" s="1" t="s">
        <v>609</v>
      </c>
      <c r="C596" s="1" t="s">
        <v>1040</v>
      </c>
      <c r="D596" s="7">
        <v>1</v>
      </c>
      <c r="E596" s="7">
        <v>1</v>
      </c>
      <c r="F596" s="7">
        <v>2</v>
      </c>
      <c r="G596" s="1" t="s">
        <v>652</v>
      </c>
    </row>
    <row x14ac:dyDescent="0.25" r="597" customHeight="1" ht="18.75">
      <c r="A597" s="7">
        <v>2</v>
      </c>
      <c r="B597" s="1" t="s">
        <v>609</v>
      </c>
      <c r="C597" s="1" t="s">
        <v>1041</v>
      </c>
      <c r="D597" s="7">
        <v>1</v>
      </c>
      <c r="E597" s="7">
        <v>1</v>
      </c>
      <c r="F597" s="7">
        <v>2</v>
      </c>
      <c r="G597" s="1" t="s">
        <v>652</v>
      </c>
    </row>
    <row x14ac:dyDescent="0.25" r="598" customHeight="1" ht="18.75">
      <c r="A598" s="7">
        <v>2</v>
      </c>
      <c r="B598" s="1" t="s">
        <v>609</v>
      </c>
      <c r="C598" s="1" t="s">
        <v>1042</v>
      </c>
      <c r="D598" s="7">
        <v>3</v>
      </c>
      <c r="E598" s="7">
        <v>0</v>
      </c>
      <c r="F598" s="7">
        <v>3</v>
      </c>
      <c r="G598" s="1" t="s">
        <v>652</v>
      </c>
    </row>
    <row x14ac:dyDescent="0.25" r="599" customHeight="1" ht="18.75">
      <c r="A599" s="7">
        <v>2</v>
      </c>
      <c r="B599" s="1" t="s">
        <v>609</v>
      </c>
      <c r="C599" s="1" t="s">
        <v>1043</v>
      </c>
      <c r="D599" s="7">
        <v>21</v>
      </c>
      <c r="E599" s="7">
        <v>0</v>
      </c>
      <c r="F599" s="7">
        <v>21</v>
      </c>
      <c r="G599" s="1" t="s">
        <v>652</v>
      </c>
    </row>
    <row x14ac:dyDescent="0.25" r="600" customHeight="1" ht="18.75">
      <c r="A600" s="7">
        <v>2</v>
      </c>
      <c r="B600" s="1" t="s">
        <v>549</v>
      </c>
      <c r="C600" s="1" t="s">
        <v>1044</v>
      </c>
      <c r="D600" s="7">
        <v>10</v>
      </c>
      <c r="E600" s="7">
        <v>0</v>
      </c>
      <c r="F600" s="7">
        <v>10</v>
      </c>
      <c r="G600" s="1" t="s">
        <v>652</v>
      </c>
    </row>
    <row x14ac:dyDescent="0.25" r="601" customHeight="1" ht="18.75">
      <c r="A601" s="7">
        <v>2</v>
      </c>
      <c r="B601" s="1" t="s">
        <v>598</v>
      </c>
      <c r="C601" s="1" t="s">
        <v>1045</v>
      </c>
      <c r="D601" s="7">
        <v>1</v>
      </c>
      <c r="E601" s="7">
        <v>1</v>
      </c>
      <c r="F601" s="7">
        <v>2</v>
      </c>
      <c r="G601" s="1" t="s">
        <v>652</v>
      </c>
    </row>
    <row x14ac:dyDescent="0.25" r="602" customHeight="1" ht="18.75">
      <c r="A602" s="7">
        <v>2</v>
      </c>
      <c r="B602" s="1" t="s">
        <v>598</v>
      </c>
      <c r="C602" s="1" t="s">
        <v>1046</v>
      </c>
      <c r="D602" s="7">
        <v>1</v>
      </c>
      <c r="E602" s="7">
        <v>1</v>
      </c>
      <c r="F602" s="7">
        <v>2</v>
      </c>
      <c r="G602" s="1" t="s">
        <v>652</v>
      </c>
    </row>
    <row x14ac:dyDescent="0.25" r="603" customHeight="1" ht="18.75">
      <c r="A603" s="7">
        <v>2</v>
      </c>
      <c r="B603" s="1" t="s">
        <v>551</v>
      </c>
      <c r="C603" s="1" t="s">
        <v>1047</v>
      </c>
      <c r="D603" s="7">
        <v>5</v>
      </c>
      <c r="E603" s="7">
        <v>3</v>
      </c>
      <c r="F603" s="7">
        <v>8</v>
      </c>
      <c r="G603" s="1" t="s">
        <v>652</v>
      </c>
    </row>
    <row x14ac:dyDescent="0.25" r="604" customHeight="1" ht="18.75">
      <c r="A604" s="7">
        <v>2</v>
      </c>
      <c r="B604" s="1" t="s">
        <v>553</v>
      </c>
      <c r="C604" s="1" t="s">
        <v>1048</v>
      </c>
      <c r="D604" s="7">
        <v>5</v>
      </c>
      <c r="E604" s="7">
        <v>0</v>
      </c>
      <c r="F604" s="7">
        <v>5</v>
      </c>
      <c r="G604" s="1" t="s">
        <v>652</v>
      </c>
    </row>
    <row x14ac:dyDescent="0.25" r="605" customHeight="1" ht="18.75">
      <c r="A605" s="7">
        <v>2</v>
      </c>
      <c r="B605" s="1" t="s">
        <v>555</v>
      </c>
      <c r="C605" s="1" t="s">
        <v>1049</v>
      </c>
      <c r="D605" s="7">
        <v>2</v>
      </c>
      <c r="E605" s="7">
        <v>2</v>
      </c>
      <c r="F605" s="7">
        <v>4</v>
      </c>
      <c r="G605" s="1" t="s">
        <v>652</v>
      </c>
    </row>
    <row x14ac:dyDescent="0.25" r="606" customHeight="1" ht="18.75">
      <c r="A606" s="7">
        <v>2</v>
      </c>
      <c r="B606" s="1" t="s">
        <v>596</v>
      </c>
      <c r="C606" s="1" t="s">
        <v>1050</v>
      </c>
      <c r="D606" s="7">
        <v>6</v>
      </c>
      <c r="E606" s="7">
        <v>0</v>
      </c>
      <c r="F606" s="7">
        <v>6</v>
      </c>
      <c r="G606" s="1" t="s">
        <v>652</v>
      </c>
    </row>
    <row x14ac:dyDescent="0.25" r="607" customHeight="1" ht="18.75">
      <c r="A607" s="7">
        <v>2</v>
      </c>
      <c r="B607" s="1" t="s">
        <v>596</v>
      </c>
      <c r="C607" s="1" t="s">
        <v>1051</v>
      </c>
      <c r="D607" s="7">
        <v>12</v>
      </c>
      <c r="E607" s="7">
        <v>1</v>
      </c>
      <c r="F607" s="7">
        <v>13</v>
      </c>
      <c r="G607" s="1" t="s">
        <v>652</v>
      </c>
    </row>
    <row x14ac:dyDescent="0.25" r="608" customHeight="1" ht="18.75">
      <c r="A608" s="7">
        <v>2</v>
      </c>
      <c r="B608" s="1" t="s">
        <v>595</v>
      </c>
      <c r="C608" s="1" t="s">
        <v>1052</v>
      </c>
      <c r="D608" s="7">
        <v>3</v>
      </c>
      <c r="E608" s="7">
        <v>5</v>
      </c>
      <c r="F608" s="7">
        <v>8</v>
      </c>
      <c r="G608" s="1" t="s">
        <v>652</v>
      </c>
    </row>
    <row x14ac:dyDescent="0.25" r="609" customHeight="1" ht="18.75">
      <c r="A609" s="7">
        <v>2</v>
      </c>
      <c r="B609" s="1" t="s">
        <v>595</v>
      </c>
      <c r="C609" s="1" t="s">
        <v>1053</v>
      </c>
      <c r="D609" s="7">
        <v>3</v>
      </c>
      <c r="E609" s="7">
        <v>1</v>
      </c>
      <c r="F609" s="7">
        <v>4</v>
      </c>
      <c r="G609" s="1" t="s">
        <v>652</v>
      </c>
    </row>
    <row x14ac:dyDescent="0.25" r="610" customHeight="1" ht="18.75">
      <c r="A610" s="7">
        <v>2</v>
      </c>
      <c r="B610" s="1" t="s">
        <v>557</v>
      </c>
      <c r="C610" s="1" t="s">
        <v>1015</v>
      </c>
      <c r="D610" s="7">
        <v>9</v>
      </c>
      <c r="E610" s="7">
        <v>4</v>
      </c>
      <c r="F610" s="7">
        <v>13</v>
      </c>
      <c r="G610" s="1" t="s">
        <v>652</v>
      </c>
    </row>
    <row x14ac:dyDescent="0.25" r="611" customHeight="1" ht="18.75">
      <c r="A611" s="7">
        <v>2</v>
      </c>
      <c r="B611" s="1" t="s">
        <v>559</v>
      </c>
      <c r="C611" s="1" t="s">
        <v>1054</v>
      </c>
      <c r="D611" s="7">
        <v>1</v>
      </c>
      <c r="E611" s="7">
        <v>0</v>
      </c>
      <c r="F611" s="7">
        <v>1</v>
      </c>
      <c r="G611" s="1" t="s">
        <v>652</v>
      </c>
    </row>
    <row x14ac:dyDescent="0.25" r="612" customHeight="1" ht="18.75">
      <c r="A612" s="7">
        <v>2</v>
      </c>
      <c r="B612" s="1" t="s">
        <v>561</v>
      </c>
      <c r="C612" s="1" t="s">
        <v>1055</v>
      </c>
      <c r="D612" s="7">
        <v>6</v>
      </c>
      <c r="E612" s="7">
        <v>0</v>
      </c>
      <c r="F612" s="7">
        <v>6</v>
      </c>
      <c r="G612" s="1" t="s">
        <v>652</v>
      </c>
    </row>
    <row x14ac:dyDescent="0.25" r="613" customHeight="1" ht="18.75">
      <c r="A613" s="7">
        <v>2</v>
      </c>
      <c r="B613" s="1" t="s">
        <v>563</v>
      </c>
      <c r="C613" s="1" t="s">
        <v>1056</v>
      </c>
      <c r="D613" s="7">
        <v>4</v>
      </c>
      <c r="E613" s="7">
        <v>0</v>
      </c>
      <c r="F613" s="7">
        <v>4</v>
      </c>
      <c r="G613" s="1" t="s">
        <v>652</v>
      </c>
    </row>
    <row x14ac:dyDescent="0.25" r="614" customHeight="1" ht="18.75">
      <c r="A614" s="7">
        <v>2</v>
      </c>
      <c r="B614" s="1" t="s">
        <v>565</v>
      </c>
      <c r="C614" s="1" t="s">
        <v>1057</v>
      </c>
      <c r="D614" s="7">
        <v>2</v>
      </c>
      <c r="E614" s="7">
        <v>2</v>
      </c>
      <c r="F614" s="7">
        <v>4</v>
      </c>
      <c r="G614" s="1" t="s">
        <v>652</v>
      </c>
    </row>
    <row x14ac:dyDescent="0.25" r="615" customHeight="1" ht="18.75">
      <c r="A615" s="7">
        <v>2</v>
      </c>
      <c r="B615" s="1" t="s">
        <v>567</v>
      </c>
      <c r="C615" s="1" t="s">
        <v>1058</v>
      </c>
      <c r="D615" s="7">
        <v>2</v>
      </c>
      <c r="E615" s="7">
        <v>2</v>
      </c>
      <c r="F615" s="7">
        <v>4</v>
      </c>
      <c r="G615" s="1" t="s">
        <v>652</v>
      </c>
    </row>
    <row x14ac:dyDescent="0.25" r="616" customHeight="1" ht="18.75">
      <c r="A616" s="7">
        <v>2</v>
      </c>
      <c r="B616" s="1" t="s">
        <v>599</v>
      </c>
      <c r="C616" s="1" t="s">
        <v>958</v>
      </c>
      <c r="D616" s="7">
        <v>14</v>
      </c>
      <c r="E616" s="7">
        <v>0</v>
      </c>
      <c r="F616" s="7">
        <v>14</v>
      </c>
      <c r="G616" s="1" t="s">
        <v>652</v>
      </c>
    </row>
    <row x14ac:dyDescent="0.25" r="617" customHeight="1" ht="18.75">
      <c r="A617" s="7">
        <v>2</v>
      </c>
      <c r="B617" s="1" t="s">
        <v>599</v>
      </c>
      <c r="C617" s="1" t="s">
        <v>959</v>
      </c>
      <c r="D617" s="7">
        <v>14</v>
      </c>
      <c r="E617" s="7">
        <v>0</v>
      </c>
      <c r="F617" s="7">
        <v>14</v>
      </c>
      <c r="G617" s="1" t="s">
        <v>652</v>
      </c>
    </row>
    <row x14ac:dyDescent="0.25" r="618" customHeight="1" ht="18.75">
      <c r="A618" s="7">
        <v>2</v>
      </c>
      <c r="B618" s="1" t="s">
        <v>569</v>
      </c>
      <c r="C618" s="1" t="s">
        <v>1059</v>
      </c>
      <c r="D618" s="7">
        <v>14</v>
      </c>
      <c r="E618" s="7">
        <v>0</v>
      </c>
      <c r="F618" s="7">
        <v>14</v>
      </c>
      <c r="G618" s="1" t="s">
        <v>652</v>
      </c>
    </row>
    <row x14ac:dyDescent="0.25" r="619" customHeight="1" ht="18.75">
      <c r="A619" s="7">
        <v>2</v>
      </c>
      <c r="B619" s="1" t="s">
        <v>571</v>
      </c>
      <c r="C619" s="1" t="s">
        <v>1019</v>
      </c>
      <c r="D619" s="7">
        <v>7</v>
      </c>
      <c r="E619" s="7">
        <v>2</v>
      </c>
      <c r="F619" s="7">
        <v>9</v>
      </c>
      <c r="G619" s="1" t="s">
        <v>652</v>
      </c>
    </row>
    <row x14ac:dyDescent="0.25" r="620" customHeight="1" ht="18.75">
      <c r="A620" s="7">
        <v>2</v>
      </c>
      <c r="B620" s="1" t="s">
        <v>573</v>
      </c>
      <c r="C620" s="1" t="s">
        <v>1030</v>
      </c>
      <c r="D620" s="7">
        <v>1</v>
      </c>
      <c r="E620" s="7">
        <v>1</v>
      </c>
      <c r="F620" s="7">
        <v>2</v>
      </c>
      <c r="G620" s="1" t="s">
        <v>652</v>
      </c>
    </row>
    <row x14ac:dyDescent="0.25" r="621" customHeight="1" ht="18.75">
      <c r="A621" s="7">
        <v>2</v>
      </c>
      <c r="B621" s="1" t="s">
        <v>593</v>
      </c>
      <c r="C621" s="1" t="s">
        <v>1060</v>
      </c>
      <c r="D621" s="7">
        <v>1</v>
      </c>
      <c r="E621" s="7">
        <v>1</v>
      </c>
      <c r="F621" s="7">
        <v>2</v>
      </c>
      <c r="G621" s="1" t="s">
        <v>652</v>
      </c>
    </row>
    <row x14ac:dyDescent="0.25" r="622" customHeight="1" ht="18.75">
      <c r="A622" s="7">
        <v>2</v>
      </c>
      <c r="B622" s="1" t="s">
        <v>593</v>
      </c>
      <c r="C622" s="1" t="s">
        <v>1061</v>
      </c>
      <c r="D622" s="7">
        <v>1</v>
      </c>
      <c r="E622" s="7">
        <v>1</v>
      </c>
      <c r="F622" s="7">
        <v>2</v>
      </c>
      <c r="G622" s="1" t="s">
        <v>652</v>
      </c>
    </row>
    <row x14ac:dyDescent="0.25" r="623" customHeight="1" ht="18.75">
      <c r="A623" s="7">
        <v>2</v>
      </c>
      <c r="B623" s="1" t="s">
        <v>575</v>
      </c>
      <c r="C623" s="1" t="s">
        <v>1062</v>
      </c>
      <c r="D623" s="7">
        <v>4</v>
      </c>
      <c r="E623" s="7">
        <v>1</v>
      </c>
      <c r="F623" s="7">
        <v>5</v>
      </c>
      <c r="G623" s="1" t="s">
        <v>652</v>
      </c>
    </row>
    <row x14ac:dyDescent="0.25" r="624" customHeight="1" ht="18.75">
      <c r="A624" s="7">
        <v>2</v>
      </c>
      <c r="B624" s="1" t="s">
        <v>577</v>
      </c>
      <c r="C624" s="1" t="s">
        <v>1063</v>
      </c>
      <c r="D624" s="7">
        <v>3</v>
      </c>
      <c r="E624" s="7">
        <v>0</v>
      </c>
      <c r="F624" s="7">
        <v>3</v>
      </c>
      <c r="G624" s="1" t="s">
        <v>652</v>
      </c>
    </row>
    <row x14ac:dyDescent="0.25" r="625" customHeight="1" ht="18.75">
      <c r="A625" s="7">
        <v>2</v>
      </c>
      <c r="B625" s="1" t="s">
        <v>579</v>
      </c>
      <c r="C625" s="1" t="s">
        <v>1064</v>
      </c>
      <c r="D625" s="7">
        <v>6</v>
      </c>
      <c r="E625" s="7">
        <v>10</v>
      </c>
      <c r="F625" s="7">
        <v>16</v>
      </c>
      <c r="G625" s="1" t="s">
        <v>652</v>
      </c>
    </row>
    <row x14ac:dyDescent="0.25" r="626" customHeight="1" ht="18.75">
      <c r="A626" s="7">
        <v>2</v>
      </c>
      <c r="B626" s="1" t="s">
        <v>581</v>
      </c>
      <c r="C626" s="1" t="s">
        <v>1065</v>
      </c>
      <c r="D626" s="7">
        <v>5</v>
      </c>
      <c r="E626" s="7">
        <v>0</v>
      </c>
      <c r="F626" s="7">
        <v>5</v>
      </c>
      <c r="G626" s="1" t="s">
        <v>652</v>
      </c>
    </row>
    <row x14ac:dyDescent="0.25" r="627" customHeight="1" ht="18.75">
      <c r="A627" s="7">
        <v>2</v>
      </c>
      <c r="B627" s="1" t="s">
        <v>583</v>
      </c>
      <c r="C627" s="1" t="s">
        <v>973</v>
      </c>
      <c r="D627" s="7">
        <v>7</v>
      </c>
      <c r="E627" s="7">
        <v>0</v>
      </c>
      <c r="F627" s="7">
        <v>7</v>
      </c>
      <c r="G627" s="1" t="s">
        <v>652</v>
      </c>
    </row>
    <row x14ac:dyDescent="0.25" r="628" customHeight="1" ht="18.75">
      <c r="A628" s="7">
        <v>2</v>
      </c>
      <c r="B628" s="1" t="s">
        <v>585</v>
      </c>
      <c r="C628" s="1" t="s">
        <v>1066</v>
      </c>
      <c r="D628" s="7">
        <v>3</v>
      </c>
      <c r="E628" s="7">
        <v>0</v>
      </c>
      <c r="F628" s="7">
        <v>3</v>
      </c>
      <c r="G628" s="1" t="s">
        <v>652</v>
      </c>
    </row>
    <row x14ac:dyDescent="0.25" r="629" customHeight="1" ht="18.75">
      <c r="A629" s="7">
        <v>2</v>
      </c>
      <c r="B629" s="1" t="s">
        <v>587</v>
      </c>
      <c r="C629" s="1" t="s">
        <v>1067</v>
      </c>
      <c r="D629" s="7">
        <v>1</v>
      </c>
      <c r="E629" s="7">
        <v>0</v>
      </c>
      <c r="F629" s="7">
        <v>1</v>
      </c>
      <c r="G629" s="1" t="s">
        <v>652</v>
      </c>
    </row>
    <row x14ac:dyDescent="0.25" r="630" customHeight="1" ht="18.75">
      <c r="A630" s="7">
        <v>2</v>
      </c>
      <c r="B630" s="1" t="s">
        <v>589</v>
      </c>
      <c r="C630" s="1" t="s">
        <v>1068</v>
      </c>
      <c r="D630" s="7">
        <v>6</v>
      </c>
      <c r="E630" s="7">
        <v>1</v>
      </c>
      <c r="F630" s="7">
        <v>7</v>
      </c>
      <c r="G630" s="1" t="s">
        <v>652</v>
      </c>
    </row>
    <row x14ac:dyDescent="0.25" r="631" customHeight="1" ht="18.75">
      <c r="A631" s="7">
        <v>2</v>
      </c>
      <c r="B631" s="1" t="s">
        <v>591</v>
      </c>
      <c r="C631" s="1" t="s">
        <v>1069</v>
      </c>
      <c r="D631" s="7">
        <v>1</v>
      </c>
      <c r="E631" s="7">
        <v>1</v>
      </c>
      <c r="F631" s="7">
        <v>2</v>
      </c>
      <c r="G631" s="1" t="s">
        <v>652</v>
      </c>
    </row>
    <row x14ac:dyDescent="0.25" r="632" customHeight="1" ht="18.75">
      <c r="A632" s="7">
        <v>2</v>
      </c>
      <c r="B632" s="1" t="s">
        <v>572</v>
      </c>
      <c r="C632" s="1" t="s">
        <v>1070</v>
      </c>
      <c r="D632" s="7">
        <v>6</v>
      </c>
      <c r="E632" s="7">
        <v>0</v>
      </c>
      <c r="F632" s="7">
        <v>6</v>
      </c>
      <c r="G632" s="1" t="s">
        <v>652</v>
      </c>
    </row>
    <row x14ac:dyDescent="0.25" r="633" customHeight="1" ht="18.75">
      <c r="A633" s="7">
        <v>2</v>
      </c>
      <c r="B633" s="1" t="s">
        <v>586</v>
      </c>
      <c r="C633" s="1" t="s">
        <v>1071</v>
      </c>
      <c r="D633" s="7">
        <v>9</v>
      </c>
      <c r="E633" s="7">
        <v>8</v>
      </c>
      <c r="F633" s="7">
        <v>17</v>
      </c>
      <c r="G633" s="1" t="s">
        <v>652</v>
      </c>
    </row>
    <row x14ac:dyDescent="0.25" r="634" customHeight="1" ht="18.75">
      <c r="A634" s="7">
        <v>2</v>
      </c>
      <c r="B634" s="1" t="s">
        <v>501</v>
      </c>
      <c r="C634" s="1" t="s">
        <v>1072</v>
      </c>
      <c r="D634" s="7">
        <v>1</v>
      </c>
      <c r="E634" s="7">
        <v>1</v>
      </c>
      <c r="F634" s="7">
        <v>2</v>
      </c>
      <c r="G634" s="1" t="s">
        <v>652</v>
      </c>
    </row>
    <row x14ac:dyDescent="0.25" r="635" customHeight="1" ht="18.75">
      <c r="A635" s="7">
        <v>2</v>
      </c>
      <c r="B635" s="1" t="s">
        <v>548</v>
      </c>
      <c r="C635" s="1" t="s">
        <v>1073</v>
      </c>
      <c r="D635" s="7">
        <v>5</v>
      </c>
      <c r="E635" s="7">
        <v>6</v>
      </c>
      <c r="F635" s="7">
        <v>11</v>
      </c>
      <c r="G635" s="1" t="s">
        <v>652</v>
      </c>
    </row>
    <row x14ac:dyDescent="0.25" r="636" customHeight="1" ht="18.75">
      <c r="A636" s="7">
        <v>3</v>
      </c>
      <c r="B636" s="1" t="s">
        <v>633</v>
      </c>
      <c r="C636" s="1" t="s">
        <v>1074</v>
      </c>
      <c r="D636" s="7">
        <v>70</v>
      </c>
      <c r="E636" s="7">
        <v>38</v>
      </c>
      <c r="F636" s="7">
        <v>108</v>
      </c>
      <c r="G636" s="1" t="s">
        <v>652</v>
      </c>
    </row>
    <row x14ac:dyDescent="0.25" r="637" customHeight="1" ht="18.75">
      <c r="A637" s="7">
        <v>3</v>
      </c>
      <c r="B637" s="1" t="s">
        <v>633</v>
      </c>
      <c r="C637" s="1" t="s">
        <v>1075</v>
      </c>
      <c r="D637" s="7">
        <v>4</v>
      </c>
      <c r="E637" s="7">
        <v>0</v>
      </c>
      <c r="F637" s="7">
        <v>4</v>
      </c>
      <c r="G637" s="1" t="s">
        <v>652</v>
      </c>
    </row>
    <row x14ac:dyDescent="0.25" r="638" customHeight="1" ht="18.75">
      <c r="A638" s="7">
        <v>3</v>
      </c>
      <c r="B638" s="1" t="s">
        <v>633</v>
      </c>
      <c r="C638" s="1" t="s">
        <v>1076</v>
      </c>
      <c r="D638" s="7">
        <v>5</v>
      </c>
      <c r="E638" s="7">
        <v>0</v>
      </c>
      <c r="F638" s="7">
        <v>5</v>
      </c>
      <c r="G638" s="1" t="s">
        <v>652</v>
      </c>
    </row>
    <row x14ac:dyDescent="0.25" r="639" customHeight="1" ht="18.75">
      <c r="A639" s="7">
        <v>3</v>
      </c>
      <c r="B639" s="1" t="s">
        <v>633</v>
      </c>
      <c r="C639" s="1" t="s">
        <v>1077</v>
      </c>
      <c r="D639" s="7">
        <v>4</v>
      </c>
      <c r="E639" s="7">
        <v>0</v>
      </c>
      <c r="F639" s="7">
        <v>4</v>
      </c>
      <c r="G639" s="1" t="s">
        <v>652</v>
      </c>
    </row>
    <row x14ac:dyDescent="0.25" r="640" customHeight="1" ht="18.75">
      <c r="A640" s="7">
        <v>3</v>
      </c>
      <c r="B640" s="1" t="s">
        <v>626</v>
      </c>
      <c r="C640" s="1" t="s">
        <v>1078</v>
      </c>
      <c r="D640" s="7">
        <v>57</v>
      </c>
      <c r="E640" s="7">
        <v>19</v>
      </c>
      <c r="F640" s="7">
        <v>76</v>
      </c>
      <c r="G640" s="1" t="s">
        <v>652</v>
      </c>
    </row>
    <row x14ac:dyDescent="0.25" r="641" customHeight="1" ht="18.75">
      <c r="A641" s="7">
        <v>3</v>
      </c>
      <c r="B641" s="1" t="s">
        <v>626</v>
      </c>
      <c r="C641" s="1" t="s">
        <v>1079</v>
      </c>
      <c r="D641" s="7">
        <v>8</v>
      </c>
      <c r="E641" s="7">
        <v>1</v>
      </c>
      <c r="F641" s="7">
        <v>9</v>
      </c>
      <c r="G641" s="1" t="s">
        <v>652</v>
      </c>
    </row>
    <row x14ac:dyDescent="0.25" r="642" customHeight="1" ht="18.75">
      <c r="A642" s="7">
        <v>3</v>
      </c>
      <c r="B642" s="1" t="s">
        <v>627</v>
      </c>
      <c r="C642" s="1" t="s">
        <v>1078</v>
      </c>
      <c r="D642" s="7">
        <v>38</v>
      </c>
      <c r="E642" s="7">
        <v>2</v>
      </c>
      <c r="F642" s="7">
        <v>40</v>
      </c>
      <c r="G642" s="1" t="s">
        <v>652</v>
      </c>
    </row>
    <row x14ac:dyDescent="0.25" r="643" customHeight="1" ht="18.75">
      <c r="A643" s="7">
        <v>3</v>
      </c>
      <c r="B643" s="1" t="s">
        <v>627</v>
      </c>
      <c r="C643" s="1" t="s">
        <v>1080</v>
      </c>
      <c r="D643" s="7">
        <v>18</v>
      </c>
      <c r="E643" s="7">
        <v>5</v>
      </c>
      <c r="F643" s="7">
        <v>23</v>
      </c>
      <c r="G643" s="1" t="s">
        <v>652</v>
      </c>
    </row>
    <row x14ac:dyDescent="0.25" r="644" customHeight="1" ht="18.75">
      <c r="A644" s="7">
        <v>3</v>
      </c>
      <c r="B644" s="1" t="s">
        <v>616</v>
      </c>
      <c r="C644" s="1" t="s">
        <v>1081</v>
      </c>
      <c r="D644" s="7">
        <v>1</v>
      </c>
      <c r="E644" s="7">
        <v>0</v>
      </c>
      <c r="F644" s="7">
        <v>1</v>
      </c>
      <c r="G644" s="1" t="s">
        <v>652</v>
      </c>
    </row>
    <row x14ac:dyDescent="0.25" r="645" customHeight="1" ht="18.75">
      <c r="A645" s="7">
        <v>3</v>
      </c>
      <c r="B645" s="1" t="s">
        <v>624</v>
      </c>
      <c r="C645" s="1" t="s">
        <v>1082</v>
      </c>
      <c r="D645" s="7">
        <v>20</v>
      </c>
      <c r="E645" s="7">
        <v>0</v>
      </c>
      <c r="F645" s="7">
        <v>20</v>
      </c>
      <c r="G645" s="1" t="s">
        <v>652</v>
      </c>
    </row>
    <row x14ac:dyDescent="0.25" r="646" customHeight="1" ht="18.75">
      <c r="A646" s="7">
        <v>3</v>
      </c>
      <c r="B646" s="1" t="s">
        <v>618</v>
      </c>
      <c r="C646" s="1" t="s">
        <v>1078</v>
      </c>
      <c r="D646" s="7">
        <v>32</v>
      </c>
      <c r="E646" s="7">
        <v>6</v>
      </c>
      <c r="F646" s="7">
        <v>38</v>
      </c>
      <c r="G646" s="1" t="s">
        <v>652</v>
      </c>
    </row>
    <row x14ac:dyDescent="0.25" r="647" customHeight="1" ht="18.75">
      <c r="A647" s="7">
        <v>3</v>
      </c>
      <c r="B647" s="1" t="s">
        <v>622</v>
      </c>
      <c r="C647" s="1" t="s">
        <v>1083</v>
      </c>
      <c r="D647" s="7">
        <v>34</v>
      </c>
      <c r="E647" s="7">
        <v>4</v>
      </c>
      <c r="F647" s="7">
        <v>38</v>
      </c>
      <c r="G647" s="1" t="s">
        <v>652</v>
      </c>
    </row>
    <row x14ac:dyDescent="0.25" r="648" customHeight="1" ht="18.75">
      <c r="A648" s="7">
        <v>3</v>
      </c>
      <c r="B648" s="1" t="s">
        <v>614</v>
      </c>
      <c r="C648" s="1" t="s">
        <v>1084</v>
      </c>
      <c r="D648" s="7">
        <v>0</v>
      </c>
      <c r="E648" s="7">
        <v>2</v>
      </c>
      <c r="F648" s="7">
        <v>2</v>
      </c>
      <c r="G648" s="1" t="s">
        <v>652</v>
      </c>
    </row>
    <row x14ac:dyDescent="0.25" r="649" customHeight="1" ht="18.75">
      <c r="A649" s="7">
        <v>3</v>
      </c>
      <c r="B649" s="1" t="s">
        <v>628</v>
      </c>
      <c r="C649" s="1" t="s">
        <v>1078</v>
      </c>
      <c r="D649" s="7">
        <v>38</v>
      </c>
      <c r="E649" s="7">
        <v>2</v>
      </c>
      <c r="F649" s="7">
        <v>40</v>
      </c>
      <c r="G649" s="1" t="s">
        <v>652</v>
      </c>
    </row>
    <row x14ac:dyDescent="0.25" r="650" customHeight="1" ht="18.75">
      <c r="A650" s="7">
        <v>3</v>
      </c>
      <c r="B650" s="1" t="s">
        <v>628</v>
      </c>
      <c r="C650" s="1" t="s">
        <v>1080</v>
      </c>
      <c r="D650" s="7">
        <v>18</v>
      </c>
      <c r="E650" s="7">
        <v>5</v>
      </c>
      <c r="F650" s="7">
        <v>23</v>
      </c>
      <c r="G650" s="1" t="s">
        <v>652</v>
      </c>
    </row>
    <row x14ac:dyDescent="0.25" r="651" customHeight="1" ht="18.75">
      <c r="A651" s="7">
        <v>3</v>
      </c>
      <c r="B651" s="1" t="s">
        <v>612</v>
      </c>
      <c r="C651" s="1" t="s">
        <v>1085</v>
      </c>
      <c r="D651" s="7">
        <v>12</v>
      </c>
      <c r="E651" s="7">
        <v>0</v>
      </c>
      <c r="F651" s="7">
        <v>12</v>
      </c>
      <c r="G651" s="1" t="s">
        <v>652</v>
      </c>
    </row>
    <row x14ac:dyDescent="0.25" r="652" customHeight="1" ht="18.75">
      <c r="A652" s="7">
        <v>3</v>
      </c>
      <c r="B652" s="1" t="s">
        <v>639</v>
      </c>
      <c r="C652" s="1" t="s">
        <v>1086</v>
      </c>
      <c r="D652" s="7">
        <v>2</v>
      </c>
      <c r="E652" s="7">
        <v>1</v>
      </c>
      <c r="F652" s="7">
        <v>3</v>
      </c>
      <c r="G652" s="1" t="s">
        <v>652</v>
      </c>
    </row>
    <row x14ac:dyDescent="0.25" r="653" customHeight="1" ht="18.75">
      <c r="A653" s="7">
        <v>3</v>
      </c>
      <c r="B653" s="1" t="s">
        <v>639</v>
      </c>
      <c r="C653" s="1" t="s">
        <v>1074</v>
      </c>
      <c r="D653" s="7">
        <v>6</v>
      </c>
      <c r="E653" s="7">
        <v>7</v>
      </c>
      <c r="F653" s="7">
        <v>13</v>
      </c>
      <c r="G653" s="1" t="s">
        <v>652</v>
      </c>
    </row>
    <row x14ac:dyDescent="0.25" r="654" customHeight="1" ht="18.75">
      <c r="A654" s="7">
        <v>3</v>
      </c>
      <c r="B654" s="1" t="s">
        <v>639</v>
      </c>
      <c r="C654" s="1" t="s">
        <v>1083</v>
      </c>
      <c r="D654" s="7">
        <v>4</v>
      </c>
      <c r="E654" s="7">
        <v>1</v>
      </c>
      <c r="F654" s="7">
        <v>5</v>
      </c>
      <c r="G654" s="1" t="s">
        <v>652</v>
      </c>
    </row>
    <row x14ac:dyDescent="0.25" r="655" customHeight="1" ht="18.75">
      <c r="A655" s="7">
        <v>3</v>
      </c>
      <c r="B655" s="1" t="s">
        <v>639</v>
      </c>
      <c r="C655" s="1" t="s">
        <v>1087</v>
      </c>
      <c r="D655" s="7">
        <v>4</v>
      </c>
      <c r="E655" s="7">
        <v>1</v>
      </c>
      <c r="F655" s="7">
        <v>5</v>
      </c>
      <c r="G655" s="1" t="s">
        <v>652</v>
      </c>
    </row>
    <row x14ac:dyDescent="0.25" r="656" customHeight="1" ht="18.75">
      <c r="A656" s="7">
        <v>3</v>
      </c>
      <c r="B656" s="1" t="s">
        <v>639</v>
      </c>
      <c r="C656" s="1" t="s">
        <v>1078</v>
      </c>
      <c r="D656" s="7">
        <v>3</v>
      </c>
      <c r="E656" s="7">
        <v>3</v>
      </c>
      <c r="F656" s="7">
        <v>6</v>
      </c>
      <c r="G656" s="1" t="s">
        <v>652</v>
      </c>
    </row>
    <row x14ac:dyDescent="0.25" r="657" customHeight="1" ht="18.75">
      <c r="A657" s="7">
        <v>3</v>
      </c>
      <c r="B657" s="1" t="s">
        <v>639</v>
      </c>
      <c r="C657" s="1" t="s">
        <v>1076</v>
      </c>
      <c r="D657" s="7">
        <v>10</v>
      </c>
      <c r="E657" s="7">
        <v>2</v>
      </c>
      <c r="F657" s="7">
        <v>12</v>
      </c>
      <c r="G657" s="1" t="s">
        <v>652</v>
      </c>
    </row>
    <row x14ac:dyDescent="0.25" r="658" customHeight="1" ht="18.75">
      <c r="A658" s="7">
        <v>3</v>
      </c>
      <c r="B658" s="1" t="s">
        <v>639</v>
      </c>
      <c r="C658" s="1" t="s">
        <v>1077</v>
      </c>
      <c r="D658" s="7">
        <v>7</v>
      </c>
      <c r="E658" s="7">
        <v>6</v>
      </c>
      <c r="F658" s="7">
        <v>13</v>
      </c>
      <c r="G658" s="1" t="s">
        <v>652</v>
      </c>
    </row>
    <row x14ac:dyDescent="0.25" r="659" customHeight="1" ht="18.75">
      <c r="A659" s="7">
        <v>3</v>
      </c>
      <c r="B659" s="1" t="s">
        <v>639</v>
      </c>
      <c r="C659" s="1" t="s">
        <v>1088</v>
      </c>
      <c r="D659" s="7">
        <v>1</v>
      </c>
      <c r="E659" s="7">
        <v>1</v>
      </c>
      <c r="F659" s="7">
        <v>2</v>
      </c>
      <c r="G659" s="1" t="s">
        <v>652</v>
      </c>
    </row>
    <row x14ac:dyDescent="0.25" r="660" customHeight="1" ht="18.75">
      <c r="A660" s="7">
        <v>3</v>
      </c>
      <c r="B660" s="1" t="s">
        <v>639</v>
      </c>
      <c r="C660" s="1" t="s">
        <v>1089</v>
      </c>
      <c r="D660" s="7">
        <v>2</v>
      </c>
      <c r="E660" s="7">
        <v>2</v>
      </c>
      <c r="F660" s="7">
        <v>4</v>
      </c>
      <c r="G660" s="1" t="s">
        <v>652</v>
      </c>
    </row>
    <row x14ac:dyDescent="0.25" r="661" customHeight="1" ht="18.75">
      <c r="A661" s="7">
        <v>3</v>
      </c>
      <c r="B661" s="1" t="s">
        <v>639</v>
      </c>
      <c r="C661" s="1" t="s">
        <v>1090</v>
      </c>
      <c r="D661" s="7">
        <v>3</v>
      </c>
      <c r="E661" s="7">
        <v>0</v>
      </c>
      <c r="F661" s="7">
        <v>3</v>
      </c>
      <c r="G661" s="1" t="s">
        <v>652</v>
      </c>
    </row>
    <row x14ac:dyDescent="0.25" r="662" customHeight="1" ht="18.75">
      <c r="A662" s="7">
        <v>3</v>
      </c>
      <c r="B662" s="1" t="s">
        <v>636</v>
      </c>
      <c r="C662" s="1" t="s">
        <v>1074</v>
      </c>
      <c r="D662" s="7">
        <v>4</v>
      </c>
      <c r="E662" s="7">
        <v>56</v>
      </c>
      <c r="F662" s="7">
        <v>60</v>
      </c>
      <c r="G662" s="1" t="s">
        <v>652</v>
      </c>
    </row>
    <row x14ac:dyDescent="0.25" r="663" customHeight="1" ht="18.75">
      <c r="A663" s="7">
        <v>3</v>
      </c>
      <c r="B663" s="1" t="s">
        <v>636</v>
      </c>
      <c r="C663" s="1" t="s">
        <v>1078</v>
      </c>
      <c r="D663" s="7">
        <v>84</v>
      </c>
      <c r="E663" s="7">
        <v>2</v>
      </c>
      <c r="F663" s="7">
        <v>86</v>
      </c>
      <c r="G663" s="1" t="s">
        <v>652</v>
      </c>
    </row>
    <row x14ac:dyDescent="0.25" r="664" customHeight="1" ht="18.75">
      <c r="A664" s="7">
        <v>3</v>
      </c>
      <c r="B664" s="1" t="s">
        <v>636</v>
      </c>
      <c r="C664" s="1" t="s">
        <v>1080</v>
      </c>
      <c r="D664" s="7">
        <v>1</v>
      </c>
      <c r="E664" s="7">
        <v>1</v>
      </c>
      <c r="F664" s="7">
        <v>2</v>
      </c>
      <c r="G664" s="1" t="s">
        <v>652</v>
      </c>
    </row>
    <row x14ac:dyDescent="0.25" r="665" customHeight="1" ht="18.75">
      <c r="A665" s="7">
        <v>3</v>
      </c>
      <c r="B665" s="1" t="s">
        <v>636</v>
      </c>
      <c r="C665" s="1" t="s">
        <v>1091</v>
      </c>
      <c r="D665" s="7">
        <v>1</v>
      </c>
      <c r="E665" s="7">
        <v>0</v>
      </c>
      <c r="F665" s="7">
        <v>1</v>
      </c>
      <c r="G665" s="1" t="s">
        <v>652</v>
      </c>
    </row>
    <row x14ac:dyDescent="0.25" r="666" customHeight="1" ht="18.75">
      <c r="A666" s="7">
        <v>3</v>
      </c>
      <c r="B666" s="1" t="s">
        <v>636</v>
      </c>
      <c r="C666" s="1" t="s">
        <v>1088</v>
      </c>
      <c r="D666" s="7">
        <v>1</v>
      </c>
      <c r="E666" s="7">
        <v>0</v>
      </c>
      <c r="F666" s="7">
        <v>1</v>
      </c>
      <c r="G666" s="1" t="s">
        <v>652</v>
      </c>
    </row>
    <row x14ac:dyDescent="0.25" r="667" customHeight="1" ht="18.75">
      <c r="A667" s="7">
        <v>3</v>
      </c>
      <c r="B667" s="1" t="s">
        <v>637</v>
      </c>
      <c r="C667" s="1" t="s">
        <v>1074</v>
      </c>
      <c r="D667" s="7">
        <v>4</v>
      </c>
      <c r="E667" s="7">
        <v>61</v>
      </c>
      <c r="F667" s="7">
        <v>65</v>
      </c>
      <c r="G667" s="1" t="s">
        <v>652</v>
      </c>
    </row>
    <row x14ac:dyDescent="0.25" r="668" customHeight="1" ht="18.75">
      <c r="A668" s="7">
        <v>3</v>
      </c>
      <c r="B668" s="1" t="s">
        <v>637</v>
      </c>
      <c r="C668" s="1" t="s">
        <v>1078</v>
      </c>
      <c r="D668" s="7">
        <v>87</v>
      </c>
      <c r="E668" s="7">
        <v>2</v>
      </c>
      <c r="F668" s="7">
        <v>89</v>
      </c>
      <c r="G668" s="1" t="s">
        <v>652</v>
      </c>
    </row>
    <row x14ac:dyDescent="0.25" r="669" customHeight="1" ht="18.75">
      <c r="A669" s="7">
        <v>3</v>
      </c>
      <c r="B669" s="1" t="s">
        <v>637</v>
      </c>
      <c r="C669" s="1" t="s">
        <v>1080</v>
      </c>
      <c r="D669" s="7">
        <v>1</v>
      </c>
      <c r="E669" s="7">
        <v>1</v>
      </c>
      <c r="F669" s="7">
        <v>2</v>
      </c>
      <c r="G669" s="1" t="s">
        <v>652</v>
      </c>
    </row>
    <row x14ac:dyDescent="0.25" r="670" customHeight="1" ht="18.75">
      <c r="A670" s="7">
        <v>3</v>
      </c>
      <c r="B670" s="1" t="s">
        <v>637</v>
      </c>
      <c r="C670" s="1" t="s">
        <v>1091</v>
      </c>
      <c r="D670" s="7">
        <v>1</v>
      </c>
      <c r="E670" s="7">
        <v>0</v>
      </c>
      <c r="F670" s="7">
        <v>1</v>
      </c>
      <c r="G670" s="1" t="s">
        <v>652</v>
      </c>
    </row>
    <row x14ac:dyDescent="0.25" r="671" customHeight="1" ht="18.75">
      <c r="A671" s="7">
        <v>3</v>
      </c>
      <c r="B671" s="1" t="s">
        <v>637</v>
      </c>
      <c r="C671" s="1" t="s">
        <v>1088</v>
      </c>
      <c r="D671" s="7">
        <v>1</v>
      </c>
      <c r="E671" s="7">
        <v>0</v>
      </c>
      <c r="F671" s="7">
        <v>1</v>
      </c>
      <c r="G671" s="1" t="s">
        <v>652</v>
      </c>
    </row>
    <row x14ac:dyDescent="0.25" r="672" customHeight="1" ht="18.75">
      <c r="A672" s="7">
        <v>3</v>
      </c>
      <c r="B672" s="1" t="s">
        <v>632</v>
      </c>
      <c r="C672" s="1" t="s">
        <v>1092</v>
      </c>
      <c r="D672" s="7">
        <v>10</v>
      </c>
      <c r="E672" s="7">
        <v>1</v>
      </c>
      <c r="F672" s="7">
        <v>11</v>
      </c>
      <c r="G672" s="1" t="s">
        <v>652</v>
      </c>
    </row>
    <row x14ac:dyDescent="0.25" r="673" customHeight="1" ht="18.75">
      <c r="A673" s="7">
        <v>3</v>
      </c>
      <c r="B673" s="1" t="s">
        <v>632</v>
      </c>
      <c r="C673" s="1" t="s">
        <v>1093</v>
      </c>
      <c r="D673" s="7">
        <v>5</v>
      </c>
      <c r="E673" s="7">
        <v>0</v>
      </c>
      <c r="F673" s="7">
        <v>5</v>
      </c>
      <c r="G673" s="1" t="s">
        <v>652</v>
      </c>
    </row>
    <row x14ac:dyDescent="0.25" r="674" customHeight="1" ht="18.75">
      <c r="A674" s="7">
        <v>3</v>
      </c>
      <c r="B674" s="1" t="s">
        <v>632</v>
      </c>
      <c r="C674" s="1" t="s">
        <v>1094</v>
      </c>
      <c r="D674" s="7">
        <v>2</v>
      </c>
      <c r="E674" s="7">
        <v>1</v>
      </c>
      <c r="F674" s="7">
        <v>3</v>
      </c>
      <c r="G674" s="1" t="s">
        <v>652</v>
      </c>
    </row>
    <row x14ac:dyDescent="0.25" r="675" customHeight="1" ht="18.75">
      <c r="A675" s="7">
        <v>3</v>
      </c>
      <c r="B675" s="1" t="s">
        <v>613</v>
      </c>
      <c r="C675" s="1" t="s">
        <v>1078</v>
      </c>
      <c r="D675" s="7">
        <v>98</v>
      </c>
      <c r="E675" s="7">
        <v>27</v>
      </c>
      <c r="F675" s="7">
        <v>125</v>
      </c>
      <c r="G675" s="1" t="s">
        <v>652</v>
      </c>
    </row>
    <row x14ac:dyDescent="0.25" r="676" customHeight="1" ht="18.75">
      <c r="A676" s="7">
        <v>3</v>
      </c>
      <c r="B676" s="1" t="s">
        <v>617</v>
      </c>
      <c r="C676" s="1" t="s">
        <v>1078</v>
      </c>
      <c r="D676" s="7">
        <v>33</v>
      </c>
      <c r="E676" s="7">
        <v>6</v>
      </c>
      <c r="F676" s="7">
        <v>39</v>
      </c>
      <c r="G676" s="1" t="s">
        <v>652</v>
      </c>
    </row>
    <row x14ac:dyDescent="0.25" r="677" customHeight="1" ht="18.75">
      <c r="A677" s="7">
        <v>3</v>
      </c>
      <c r="B677" s="1" t="s">
        <v>634</v>
      </c>
      <c r="C677" s="1" t="s">
        <v>1074</v>
      </c>
      <c r="D677" s="7">
        <v>61</v>
      </c>
      <c r="E677" s="7">
        <v>52</v>
      </c>
      <c r="F677" s="7">
        <v>113</v>
      </c>
      <c r="G677" s="1" t="s">
        <v>652</v>
      </c>
    </row>
    <row x14ac:dyDescent="0.25" r="678" customHeight="1" ht="18.75">
      <c r="A678" s="7">
        <v>3</v>
      </c>
      <c r="B678" s="1" t="s">
        <v>634</v>
      </c>
      <c r="C678" s="1" t="s">
        <v>1075</v>
      </c>
      <c r="D678" s="7">
        <v>4</v>
      </c>
      <c r="E678" s="7">
        <v>0</v>
      </c>
      <c r="F678" s="7">
        <v>4</v>
      </c>
      <c r="G678" s="1" t="s">
        <v>652</v>
      </c>
    </row>
    <row x14ac:dyDescent="0.25" r="679" customHeight="1" ht="18.75">
      <c r="A679" s="7">
        <v>3</v>
      </c>
      <c r="B679" s="1" t="s">
        <v>634</v>
      </c>
      <c r="C679" s="1" t="s">
        <v>1076</v>
      </c>
      <c r="D679" s="7">
        <v>5</v>
      </c>
      <c r="E679" s="7">
        <v>0</v>
      </c>
      <c r="F679" s="7">
        <v>5</v>
      </c>
      <c r="G679" s="1" t="s">
        <v>652</v>
      </c>
    </row>
    <row x14ac:dyDescent="0.25" r="680" customHeight="1" ht="18.75">
      <c r="A680" s="7">
        <v>3</v>
      </c>
      <c r="B680" s="1" t="s">
        <v>634</v>
      </c>
      <c r="C680" s="1" t="s">
        <v>1077</v>
      </c>
      <c r="D680" s="7">
        <v>4</v>
      </c>
      <c r="E680" s="7">
        <v>0</v>
      </c>
      <c r="F680" s="7">
        <v>4</v>
      </c>
      <c r="G680" s="1" t="s">
        <v>652</v>
      </c>
    </row>
    <row x14ac:dyDescent="0.25" r="681" customHeight="1" ht="18.75">
      <c r="A681" s="7">
        <v>3</v>
      </c>
      <c r="B681" s="1" t="s">
        <v>630</v>
      </c>
      <c r="C681" s="1" t="s">
        <v>1078</v>
      </c>
      <c r="D681" s="7">
        <v>38</v>
      </c>
      <c r="E681" s="7">
        <v>2</v>
      </c>
      <c r="F681" s="7">
        <v>40</v>
      </c>
      <c r="G681" s="1" t="s">
        <v>652</v>
      </c>
    </row>
    <row x14ac:dyDescent="0.25" r="682" customHeight="1" ht="18.75">
      <c r="A682" s="7">
        <v>3</v>
      </c>
      <c r="B682" s="1" t="s">
        <v>630</v>
      </c>
      <c r="C682" s="1" t="s">
        <v>1080</v>
      </c>
      <c r="D682" s="7">
        <v>18</v>
      </c>
      <c r="E682" s="7">
        <v>5</v>
      </c>
      <c r="F682" s="7">
        <v>23</v>
      </c>
      <c r="G682" s="1" t="s">
        <v>652</v>
      </c>
    </row>
    <row x14ac:dyDescent="0.25" r="683" customHeight="1" ht="18.75">
      <c r="A683" s="7">
        <v>3</v>
      </c>
      <c r="B683" s="1" t="s">
        <v>619</v>
      </c>
      <c r="C683" s="1" t="s">
        <v>1078</v>
      </c>
      <c r="D683" s="7">
        <v>98</v>
      </c>
      <c r="E683" s="7">
        <v>27</v>
      </c>
      <c r="F683" s="7">
        <v>125</v>
      </c>
      <c r="G683" s="1" t="s">
        <v>652</v>
      </c>
    </row>
    <row x14ac:dyDescent="0.25" r="684" customHeight="1" ht="18.75">
      <c r="A684" s="7">
        <v>3</v>
      </c>
      <c r="B684" s="1" t="s">
        <v>631</v>
      </c>
      <c r="C684" s="1" t="s">
        <v>1078</v>
      </c>
      <c r="D684" s="7">
        <v>62</v>
      </c>
      <c r="E684" s="7">
        <v>20</v>
      </c>
      <c r="F684" s="7">
        <v>82</v>
      </c>
      <c r="G684" s="1" t="s">
        <v>652</v>
      </c>
    </row>
    <row x14ac:dyDescent="0.25" r="685" customHeight="1" ht="18.75">
      <c r="A685" s="7">
        <v>3</v>
      </c>
      <c r="B685" s="1" t="s">
        <v>631</v>
      </c>
      <c r="C685" s="1" t="s">
        <v>1079</v>
      </c>
      <c r="D685" s="7">
        <v>13</v>
      </c>
      <c r="E685" s="7">
        <v>2</v>
      </c>
      <c r="F685" s="7">
        <v>15</v>
      </c>
      <c r="G685" s="1" t="s">
        <v>652</v>
      </c>
    </row>
    <row x14ac:dyDescent="0.25" r="686" customHeight="1" ht="18.75">
      <c r="A686" s="7">
        <v>3</v>
      </c>
      <c r="B686" s="1" t="s">
        <v>621</v>
      </c>
      <c r="C686" s="1" t="s">
        <v>1078</v>
      </c>
      <c r="D686" s="7">
        <v>98</v>
      </c>
      <c r="E686" s="7">
        <v>27</v>
      </c>
      <c r="F686" s="7">
        <v>125</v>
      </c>
      <c r="G686" s="1" t="s">
        <v>652</v>
      </c>
    </row>
    <row x14ac:dyDescent="0.25" r="687" customHeight="1" ht="18.75">
      <c r="A687" s="7">
        <v>3</v>
      </c>
      <c r="B687" s="1" t="s">
        <v>623</v>
      </c>
      <c r="C687" s="1" t="s">
        <v>1095</v>
      </c>
      <c r="D687" s="7">
        <v>5</v>
      </c>
      <c r="E687" s="7">
        <v>0</v>
      </c>
      <c r="F687" s="7">
        <v>5</v>
      </c>
      <c r="G687" s="1" t="s">
        <v>652</v>
      </c>
    </row>
    <row x14ac:dyDescent="0.25" r="688" customHeight="1" ht="18.75">
      <c r="A688" s="7">
        <v>3</v>
      </c>
      <c r="B688" s="1" t="s">
        <v>638</v>
      </c>
      <c r="C688" s="1" t="s">
        <v>1074</v>
      </c>
      <c r="D688" s="7">
        <v>6</v>
      </c>
      <c r="E688" s="7">
        <v>7</v>
      </c>
      <c r="F688" s="7">
        <v>13</v>
      </c>
      <c r="G688" s="1" t="s">
        <v>652</v>
      </c>
    </row>
    <row x14ac:dyDescent="0.25" r="689" customHeight="1" ht="18.75">
      <c r="A689" s="7">
        <v>3</v>
      </c>
      <c r="B689" s="1" t="s">
        <v>638</v>
      </c>
      <c r="C689" s="1" t="s">
        <v>1083</v>
      </c>
      <c r="D689" s="7">
        <v>4</v>
      </c>
      <c r="E689" s="7">
        <v>1</v>
      </c>
      <c r="F689" s="7">
        <v>5</v>
      </c>
      <c r="G689" s="1" t="s">
        <v>652</v>
      </c>
    </row>
    <row x14ac:dyDescent="0.25" r="690" customHeight="1" ht="18.75">
      <c r="A690" s="7">
        <v>3</v>
      </c>
      <c r="B690" s="1" t="s">
        <v>638</v>
      </c>
      <c r="C690" s="1" t="s">
        <v>1087</v>
      </c>
      <c r="D690" s="7">
        <v>4</v>
      </c>
      <c r="E690" s="7">
        <v>1</v>
      </c>
      <c r="F690" s="7">
        <v>5</v>
      </c>
      <c r="G690" s="1" t="s">
        <v>652</v>
      </c>
    </row>
    <row x14ac:dyDescent="0.25" r="691" customHeight="1" ht="18.75">
      <c r="A691" s="7">
        <v>3</v>
      </c>
      <c r="B691" s="1" t="s">
        <v>638</v>
      </c>
      <c r="C691" s="1" t="s">
        <v>1078</v>
      </c>
      <c r="D691" s="7">
        <v>3</v>
      </c>
      <c r="E691" s="7">
        <v>3</v>
      </c>
      <c r="F691" s="7">
        <v>6</v>
      </c>
      <c r="G691" s="1" t="s">
        <v>652</v>
      </c>
    </row>
    <row x14ac:dyDescent="0.25" r="692" customHeight="1" ht="18.75">
      <c r="A692" s="7">
        <v>3</v>
      </c>
      <c r="B692" s="1" t="s">
        <v>638</v>
      </c>
      <c r="C692" s="1" t="s">
        <v>1076</v>
      </c>
      <c r="D692" s="7">
        <v>10</v>
      </c>
      <c r="E692" s="7">
        <v>2</v>
      </c>
      <c r="F692" s="7">
        <v>12</v>
      </c>
      <c r="G692" s="1" t="s">
        <v>652</v>
      </c>
    </row>
    <row x14ac:dyDescent="0.25" r="693" customHeight="1" ht="18.75">
      <c r="A693" s="7">
        <v>3</v>
      </c>
      <c r="B693" s="1" t="s">
        <v>638</v>
      </c>
      <c r="C693" s="1" t="s">
        <v>1077</v>
      </c>
      <c r="D693" s="7">
        <v>4</v>
      </c>
      <c r="E693" s="7">
        <v>2</v>
      </c>
      <c r="F693" s="7">
        <v>6</v>
      </c>
      <c r="G693" s="1" t="s">
        <v>652</v>
      </c>
    </row>
    <row x14ac:dyDescent="0.25" r="694" customHeight="1" ht="18.75">
      <c r="A694" s="7">
        <v>3</v>
      </c>
      <c r="B694" s="1" t="s">
        <v>638</v>
      </c>
      <c r="C694" s="1" t="s">
        <v>1088</v>
      </c>
      <c r="D694" s="7">
        <v>1</v>
      </c>
      <c r="E694" s="7">
        <v>1</v>
      </c>
      <c r="F694" s="7">
        <v>2</v>
      </c>
      <c r="G694" s="1" t="s">
        <v>652</v>
      </c>
    </row>
    <row x14ac:dyDescent="0.25" r="695" customHeight="1" ht="18.75">
      <c r="A695" s="7">
        <v>3</v>
      </c>
      <c r="B695" s="1" t="s">
        <v>638</v>
      </c>
      <c r="C695" s="1" t="s">
        <v>1089</v>
      </c>
      <c r="D695" s="7">
        <v>2</v>
      </c>
      <c r="E695" s="7">
        <v>2</v>
      </c>
      <c r="F695" s="7">
        <v>4</v>
      </c>
      <c r="G695" s="1" t="s">
        <v>652</v>
      </c>
    </row>
    <row x14ac:dyDescent="0.25" r="696" customHeight="1" ht="18.75">
      <c r="A696" s="7">
        <v>3</v>
      </c>
      <c r="B696" s="1" t="s">
        <v>638</v>
      </c>
      <c r="C696" s="1" t="s">
        <v>1090</v>
      </c>
      <c r="D696" s="7">
        <v>3</v>
      </c>
      <c r="E696" s="7">
        <v>0</v>
      </c>
      <c r="F696" s="7">
        <v>3</v>
      </c>
      <c r="G696" s="1" t="s">
        <v>652</v>
      </c>
    </row>
    <row x14ac:dyDescent="0.25" r="697" customHeight="1" ht="18.75">
      <c r="A697" s="7">
        <v>3</v>
      </c>
      <c r="B697" s="1" t="s">
        <v>625</v>
      </c>
      <c r="C697" s="1" t="s">
        <v>1082</v>
      </c>
      <c r="D697" s="7">
        <v>20</v>
      </c>
      <c r="E697" s="7">
        <v>0</v>
      </c>
      <c r="F697" s="7">
        <v>20</v>
      </c>
      <c r="G697" s="1" t="s">
        <v>652</v>
      </c>
    </row>
    <row x14ac:dyDescent="0.25" r="698" customHeight="1" ht="18.75">
      <c r="A698" s="7">
        <v>3</v>
      </c>
      <c r="B698" s="1" t="s">
        <v>629</v>
      </c>
      <c r="C698" s="1" t="s">
        <v>1078</v>
      </c>
      <c r="D698" s="7">
        <v>62</v>
      </c>
      <c r="E698" s="7">
        <v>20</v>
      </c>
      <c r="F698" s="7">
        <v>82</v>
      </c>
      <c r="G698" s="1" t="s">
        <v>652</v>
      </c>
    </row>
    <row x14ac:dyDescent="0.25" r="699" customHeight="1" ht="18.75">
      <c r="A699" s="7">
        <v>3</v>
      </c>
      <c r="B699" s="1" t="s">
        <v>629</v>
      </c>
      <c r="C699" s="1" t="s">
        <v>1079</v>
      </c>
      <c r="D699" s="7">
        <v>13</v>
      </c>
      <c r="E699" s="7">
        <v>2</v>
      </c>
      <c r="F699" s="7">
        <v>15</v>
      </c>
      <c r="G699" s="1" t="s">
        <v>652</v>
      </c>
    </row>
    <row x14ac:dyDescent="0.25" r="700" customHeight="1" ht="18.75">
      <c r="A700" s="7">
        <v>3</v>
      </c>
      <c r="B700" s="1" t="s">
        <v>620</v>
      </c>
      <c r="C700" s="1" t="s">
        <v>1078</v>
      </c>
      <c r="D700" s="7">
        <v>33</v>
      </c>
      <c r="E700" s="7">
        <v>6</v>
      </c>
      <c r="F700" s="7">
        <v>39</v>
      </c>
      <c r="G700" s="1" t="s">
        <v>652</v>
      </c>
    </row>
    <row x14ac:dyDescent="0.25" r="701" customHeight="1" ht="18.75">
      <c r="A701" s="7">
        <v>3</v>
      </c>
      <c r="B701" s="1" t="s">
        <v>615</v>
      </c>
      <c r="C701" s="1" t="s">
        <v>1081</v>
      </c>
      <c r="D701" s="7">
        <v>1</v>
      </c>
      <c r="E701" s="7">
        <v>0</v>
      </c>
      <c r="F701" s="7">
        <v>1</v>
      </c>
      <c r="G701" s="1" t="s">
        <v>652</v>
      </c>
    </row>
    <row x14ac:dyDescent="0.25" r="702" customHeight="1" ht="18.75">
      <c r="A702" s="7">
        <v>3</v>
      </c>
      <c r="B702" s="1" t="s">
        <v>635</v>
      </c>
      <c r="C702" s="1" t="s">
        <v>1074</v>
      </c>
      <c r="D702" s="7">
        <v>6</v>
      </c>
      <c r="E702" s="7">
        <v>61</v>
      </c>
      <c r="F702" s="7">
        <v>67</v>
      </c>
      <c r="G702" s="1" t="s">
        <v>652</v>
      </c>
    </row>
    <row x14ac:dyDescent="0.25" r="703" customHeight="1" ht="18.75">
      <c r="A703" s="7">
        <v>3</v>
      </c>
      <c r="B703" s="1" t="s">
        <v>635</v>
      </c>
      <c r="C703" s="1" t="s">
        <v>1078</v>
      </c>
      <c r="D703" s="7">
        <v>87</v>
      </c>
      <c r="E703" s="7">
        <v>2</v>
      </c>
      <c r="F703" s="7">
        <v>89</v>
      </c>
      <c r="G703" s="1" t="s">
        <v>652</v>
      </c>
    </row>
    <row x14ac:dyDescent="0.25" r="704" customHeight="1" ht="18.75">
      <c r="A704" s="7">
        <v>3</v>
      </c>
      <c r="B704" s="1" t="s">
        <v>635</v>
      </c>
      <c r="C704" s="1" t="s">
        <v>1080</v>
      </c>
      <c r="D704" s="7">
        <v>1</v>
      </c>
      <c r="E704" s="7">
        <v>1</v>
      </c>
      <c r="F704" s="7">
        <v>2</v>
      </c>
      <c r="G704" s="1" t="s">
        <v>652</v>
      </c>
    </row>
    <row x14ac:dyDescent="0.25" r="705" customHeight="1" ht="18.75">
      <c r="A705" s="7">
        <v>3</v>
      </c>
      <c r="B705" s="1" t="s">
        <v>635</v>
      </c>
      <c r="C705" s="1" t="s">
        <v>1091</v>
      </c>
      <c r="D705" s="7">
        <v>1</v>
      </c>
      <c r="E705" s="7">
        <v>0</v>
      </c>
      <c r="F705" s="7">
        <v>1</v>
      </c>
      <c r="G705" s="1" t="s">
        <v>652</v>
      </c>
    </row>
    <row x14ac:dyDescent="0.25" r="706" customHeight="1" ht="18.75">
      <c r="A706" s="7">
        <v>3</v>
      </c>
      <c r="B706" s="1" t="s">
        <v>635</v>
      </c>
      <c r="C706" s="1" t="s">
        <v>1088</v>
      </c>
      <c r="D706" s="7">
        <v>1</v>
      </c>
      <c r="E706" s="7">
        <v>0</v>
      </c>
      <c r="F706" s="7">
        <v>1</v>
      </c>
      <c r="G706" s="1" t="s">
        <v>652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76"/>
  <sheetViews>
    <sheetView workbookViewId="0"/>
  </sheetViews>
  <sheetFormatPr defaultRowHeight="15" x14ac:dyDescent="0.25"/>
  <cols>
    <col min="1" max="1" style="8" width="42.14785714285715" customWidth="1" bestFit="1"/>
    <col min="2" max="2" style="9" width="18.862142857142857" customWidth="1" bestFit="1"/>
    <col min="3" max="3" style="9" width="10.43357142857143" customWidth="1" bestFit="1"/>
  </cols>
  <sheetData>
    <row x14ac:dyDescent="0.25" r="1" customHeight="1" ht="18.75">
      <c r="A1" s="5"/>
      <c r="B1" s="6"/>
      <c r="C1" s="6"/>
    </row>
    <row x14ac:dyDescent="0.25" r="2" customHeight="1" ht="18.75">
      <c r="A2" s="5"/>
      <c r="B2" s="6"/>
      <c r="C2" s="6"/>
    </row>
    <row x14ac:dyDescent="0.25" r="3" customHeight="1" ht="18.75">
      <c r="A3" s="5" t="s">
        <v>640</v>
      </c>
      <c r="B3" s="6" t="s">
        <v>641</v>
      </c>
      <c r="C3" s="6"/>
    </row>
    <row x14ac:dyDescent="0.25" r="4" customHeight="1" ht="18.75">
      <c r="A4" s="5" t="s">
        <v>642</v>
      </c>
      <c r="B4" s="7">
        <v>1</v>
      </c>
      <c r="C4" s="6" t="s">
        <v>643</v>
      </c>
    </row>
    <row x14ac:dyDescent="0.25" r="5" customHeight="1" ht="18.75">
      <c r="A5" s="2" t="s">
        <v>322</v>
      </c>
      <c r="B5" s="7">
        <v>1</v>
      </c>
      <c r="C5" s="7">
        <v>1</v>
      </c>
    </row>
    <row x14ac:dyDescent="0.25" r="6" customHeight="1" ht="18.75">
      <c r="A6" s="2" t="s">
        <v>323</v>
      </c>
      <c r="B6" s="7">
        <v>1</v>
      </c>
      <c r="C6" s="7">
        <v>1</v>
      </c>
    </row>
    <row x14ac:dyDescent="0.25" r="7" customHeight="1" ht="18.75">
      <c r="A7" s="2" t="s">
        <v>324</v>
      </c>
      <c r="B7" s="7">
        <v>1</v>
      </c>
      <c r="C7" s="7">
        <v>1</v>
      </c>
    </row>
    <row x14ac:dyDescent="0.25" r="8" customHeight="1" ht="18.75">
      <c r="A8" s="2" t="s">
        <v>325</v>
      </c>
      <c r="B8" s="7">
        <v>1</v>
      </c>
      <c r="C8" s="7">
        <v>1</v>
      </c>
    </row>
    <row x14ac:dyDescent="0.25" r="9" customHeight="1" ht="18.75">
      <c r="A9" s="2" t="s">
        <v>326</v>
      </c>
      <c r="B9" s="7">
        <v>1</v>
      </c>
      <c r="C9" s="7">
        <v>1</v>
      </c>
    </row>
    <row x14ac:dyDescent="0.25" r="10" customHeight="1" ht="18.75">
      <c r="A10" s="2" t="s">
        <v>327</v>
      </c>
      <c r="B10" s="7">
        <v>1</v>
      </c>
      <c r="C10" s="7">
        <v>1</v>
      </c>
    </row>
    <row x14ac:dyDescent="0.25" r="11" customHeight="1" ht="18.75">
      <c r="A11" s="2" t="s">
        <v>328</v>
      </c>
      <c r="B11" s="7">
        <v>1</v>
      </c>
      <c r="C11" s="7">
        <v>1</v>
      </c>
    </row>
    <row x14ac:dyDescent="0.25" r="12" customHeight="1" ht="18.75">
      <c r="A12" s="2" t="s">
        <v>329</v>
      </c>
      <c r="B12" s="7">
        <v>1</v>
      </c>
      <c r="C12" s="7">
        <v>1</v>
      </c>
    </row>
    <row x14ac:dyDescent="0.25" r="13" customHeight="1" ht="18.75">
      <c r="A13" s="2" t="s">
        <v>330</v>
      </c>
      <c r="B13" s="7">
        <v>1</v>
      </c>
      <c r="C13" s="7">
        <v>1</v>
      </c>
    </row>
    <row x14ac:dyDescent="0.25" r="14" customHeight="1" ht="18.75">
      <c r="A14" s="2" t="s">
        <v>331</v>
      </c>
      <c r="B14" s="7">
        <v>1</v>
      </c>
      <c r="C14" s="7">
        <v>1</v>
      </c>
    </row>
    <row x14ac:dyDescent="0.25" r="15" customHeight="1" ht="18.75">
      <c r="A15" s="2" t="s">
        <v>332</v>
      </c>
      <c r="B15" s="7">
        <v>1</v>
      </c>
      <c r="C15" s="7">
        <v>1</v>
      </c>
    </row>
    <row x14ac:dyDescent="0.25" r="16" customHeight="1" ht="18.75">
      <c r="A16" s="2" t="s">
        <v>333</v>
      </c>
      <c r="B16" s="7">
        <v>1</v>
      </c>
      <c r="C16" s="7">
        <v>1</v>
      </c>
    </row>
    <row x14ac:dyDescent="0.25" r="17" customHeight="1" ht="18.75">
      <c r="A17" s="2" t="s">
        <v>334</v>
      </c>
      <c r="B17" s="7">
        <v>1</v>
      </c>
      <c r="C17" s="7">
        <v>1</v>
      </c>
    </row>
    <row x14ac:dyDescent="0.25" r="18" customHeight="1" ht="18.75">
      <c r="A18" s="2" t="s">
        <v>335</v>
      </c>
      <c r="B18" s="7">
        <v>1</v>
      </c>
      <c r="C18" s="7">
        <v>1</v>
      </c>
    </row>
    <row x14ac:dyDescent="0.25" r="19" customHeight="1" ht="18.75">
      <c r="A19" s="2" t="s">
        <v>336</v>
      </c>
      <c r="B19" s="7">
        <v>1</v>
      </c>
      <c r="C19" s="7">
        <v>1</v>
      </c>
    </row>
    <row x14ac:dyDescent="0.25" r="20" customHeight="1" ht="18.75">
      <c r="A20" s="2" t="s">
        <v>337</v>
      </c>
      <c r="B20" s="7">
        <v>1</v>
      </c>
      <c r="C20" s="7">
        <v>1</v>
      </c>
    </row>
    <row x14ac:dyDescent="0.25" r="21" customHeight="1" ht="18.75">
      <c r="A21" s="2" t="s">
        <v>338</v>
      </c>
      <c r="B21" s="7">
        <v>1</v>
      </c>
      <c r="C21" s="7">
        <v>1</v>
      </c>
    </row>
    <row x14ac:dyDescent="0.25" r="22" customHeight="1" ht="18.75">
      <c r="A22" s="2" t="s">
        <v>339</v>
      </c>
      <c r="B22" s="7">
        <v>1</v>
      </c>
      <c r="C22" s="7">
        <v>1</v>
      </c>
    </row>
    <row x14ac:dyDescent="0.25" r="23" customHeight="1" ht="18.75">
      <c r="A23" s="2" t="s">
        <v>340</v>
      </c>
      <c r="B23" s="7">
        <v>1</v>
      </c>
      <c r="C23" s="7">
        <v>1</v>
      </c>
    </row>
    <row x14ac:dyDescent="0.25" r="24" customHeight="1" ht="18.75">
      <c r="A24" s="2" t="s">
        <v>341</v>
      </c>
      <c r="B24" s="7">
        <v>1</v>
      </c>
      <c r="C24" s="7">
        <v>1</v>
      </c>
    </row>
    <row x14ac:dyDescent="0.25" r="25" customHeight="1" ht="18.75">
      <c r="A25" s="2" t="s">
        <v>342</v>
      </c>
      <c r="B25" s="7">
        <v>1</v>
      </c>
      <c r="C25" s="7">
        <v>1</v>
      </c>
    </row>
    <row x14ac:dyDescent="0.25" r="26" customHeight="1" ht="18.75">
      <c r="A26" s="2" t="s">
        <v>343</v>
      </c>
      <c r="B26" s="7">
        <v>1</v>
      </c>
      <c r="C26" s="7">
        <v>1</v>
      </c>
    </row>
    <row x14ac:dyDescent="0.25" r="27" customHeight="1" ht="18.75">
      <c r="A27" s="2" t="s">
        <v>344</v>
      </c>
      <c r="B27" s="7">
        <v>1</v>
      </c>
      <c r="C27" s="7">
        <v>1</v>
      </c>
    </row>
    <row x14ac:dyDescent="0.25" r="28" customHeight="1" ht="18.75">
      <c r="A28" s="2" t="s">
        <v>345</v>
      </c>
      <c r="B28" s="7">
        <v>1</v>
      </c>
      <c r="C28" s="7">
        <v>1</v>
      </c>
    </row>
    <row x14ac:dyDescent="0.25" r="29" customHeight="1" ht="18.75">
      <c r="A29" s="2" t="s">
        <v>346</v>
      </c>
      <c r="B29" s="7">
        <v>1</v>
      </c>
      <c r="C29" s="7">
        <v>1</v>
      </c>
    </row>
    <row x14ac:dyDescent="0.25" r="30" customHeight="1" ht="18.75">
      <c r="A30" s="2" t="s">
        <v>347</v>
      </c>
      <c r="B30" s="7">
        <v>1</v>
      </c>
      <c r="C30" s="7">
        <v>1</v>
      </c>
    </row>
    <row x14ac:dyDescent="0.25" r="31" customHeight="1" ht="18.75">
      <c r="A31" s="2" t="s">
        <v>348</v>
      </c>
      <c r="B31" s="7">
        <v>1</v>
      </c>
      <c r="C31" s="7">
        <v>1</v>
      </c>
    </row>
    <row x14ac:dyDescent="0.25" r="32" customHeight="1" ht="18.75">
      <c r="A32" s="2" t="s">
        <v>349</v>
      </c>
      <c r="B32" s="7">
        <v>1</v>
      </c>
      <c r="C32" s="7">
        <v>1</v>
      </c>
    </row>
    <row x14ac:dyDescent="0.25" r="33" customHeight="1" ht="18.75">
      <c r="A33" s="2" t="s">
        <v>350</v>
      </c>
      <c r="B33" s="7">
        <v>1</v>
      </c>
      <c r="C33" s="7">
        <v>1</v>
      </c>
    </row>
    <row x14ac:dyDescent="0.25" r="34" customHeight="1" ht="18.75">
      <c r="A34" s="2" t="s">
        <v>351</v>
      </c>
      <c r="B34" s="7">
        <v>1</v>
      </c>
      <c r="C34" s="7">
        <v>1</v>
      </c>
    </row>
    <row x14ac:dyDescent="0.25" r="35" customHeight="1" ht="18.75">
      <c r="A35" s="2" t="s">
        <v>352</v>
      </c>
      <c r="B35" s="7">
        <v>1</v>
      </c>
      <c r="C35" s="7">
        <v>1</v>
      </c>
    </row>
    <row x14ac:dyDescent="0.25" r="36" customHeight="1" ht="18.75">
      <c r="A36" s="2" t="s">
        <v>353</v>
      </c>
      <c r="B36" s="7">
        <v>1</v>
      </c>
      <c r="C36" s="7">
        <v>1</v>
      </c>
    </row>
    <row x14ac:dyDescent="0.25" r="37" customHeight="1" ht="18.75">
      <c r="A37" s="2" t="s">
        <v>354</v>
      </c>
      <c r="B37" s="7">
        <v>1</v>
      </c>
      <c r="C37" s="7">
        <v>1</v>
      </c>
    </row>
    <row x14ac:dyDescent="0.25" r="38" customHeight="1" ht="18.75">
      <c r="A38" s="2" t="s">
        <v>355</v>
      </c>
      <c r="B38" s="7">
        <v>1</v>
      </c>
      <c r="C38" s="7">
        <v>1</v>
      </c>
    </row>
    <row x14ac:dyDescent="0.25" r="39" customHeight="1" ht="18.75">
      <c r="A39" s="2" t="s">
        <v>356</v>
      </c>
      <c r="B39" s="7">
        <v>1</v>
      </c>
      <c r="C39" s="7">
        <v>1</v>
      </c>
    </row>
    <row x14ac:dyDescent="0.25" r="40" customHeight="1" ht="18.75">
      <c r="A40" s="2" t="s">
        <v>357</v>
      </c>
      <c r="B40" s="7">
        <v>1</v>
      </c>
      <c r="C40" s="7">
        <v>1</v>
      </c>
    </row>
    <row x14ac:dyDescent="0.25" r="41" customHeight="1" ht="18.75">
      <c r="A41" s="2" t="s">
        <v>358</v>
      </c>
      <c r="B41" s="7">
        <v>1</v>
      </c>
      <c r="C41" s="7">
        <v>1</v>
      </c>
    </row>
    <row x14ac:dyDescent="0.25" r="42" customHeight="1" ht="18.75">
      <c r="A42" s="2" t="s">
        <v>359</v>
      </c>
      <c r="B42" s="7">
        <v>1</v>
      </c>
      <c r="C42" s="7">
        <v>1</v>
      </c>
    </row>
    <row x14ac:dyDescent="0.25" r="43" customHeight="1" ht="18.75">
      <c r="A43" s="2" t="s">
        <v>360</v>
      </c>
      <c r="B43" s="7">
        <v>1</v>
      </c>
      <c r="C43" s="7">
        <v>1</v>
      </c>
    </row>
    <row x14ac:dyDescent="0.25" r="44" customHeight="1" ht="18.75">
      <c r="A44" s="2" t="s">
        <v>361</v>
      </c>
      <c r="B44" s="7">
        <v>1</v>
      </c>
      <c r="C44" s="7">
        <v>1</v>
      </c>
    </row>
    <row x14ac:dyDescent="0.25" r="45" customHeight="1" ht="18.75">
      <c r="A45" s="2" t="s">
        <v>362</v>
      </c>
      <c r="B45" s="7">
        <v>1</v>
      </c>
      <c r="C45" s="7">
        <v>1</v>
      </c>
    </row>
    <row x14ac:dyDescent="0.25" r="46" customHeight="1" ht="18.75">
      <c r="A46" s="2" t="s">
        <v>363</v>
      </c>
      <c r="B46" s="7">
        <v>1</v>
      </c>
      <c r="C46" s="7">
        <v>1</v>
      </c>
    </row>
    <row x14ac:dyDescent="0.25" r="47" customHeight="1" ht="18.75">
      <c r="A47" s="2" t="s">
        <v>364</v>
      </c>
      <c r="B47" s="7">
        <v>1</v>
      </c>
      <c r="C47" s="7">
        <v>1</v>
      </c>
    </row>
    <row x14ac:dyDescent="0.25" r="48" customHeight="1" ht="18.75">
      <c r="A48" s="2" t="s">
        <v>365</v>
      </c>
      <c r="B48" s="7">
        <v>1</v>
      </c>
      <c r="C48" s="7">
        <v>1</v>
      </c>
    </row>
    <row x14ac:dyDescent="0.25" r="49" customHeight="1" ht="18.75">
      <c r="A49" s="2" t="s">
        <v>366</v>
      </c>
      <c r="B49" s="7">
        <v>1</v>
      </c>
      <c r="C49" s="7">
        <v>1</v>
      </c>
    </row>
    <row x14ac:dyDescent="0.25" r="50" customHeight="1" ht="18.75">
      <c r="A50" s="2" t="s">
        <v>367</v>
      </c>
      <c r="B50" s="7">
        <v>1</v>
      </c>
      <c r="C50" s="7">
        <v>1</v>
      </c>
    </row>
    <row x14ac:dyDescent="0.25" r="51" customHeight="1" ht="18.75">
      <c r="A51" s="2" t="s">
        <v>368</v>
      </c>
      <c r="B51" s="7">
        <v>1</v>
      </c>
      <c r="C51" s="7">
        <v>1</v>
      </c>
    </row>
    <row x14ac:dyDescent="0.25" r="52" customHeight="1" ht="18.75">
      <c r="A52" s="2" t="s">
        <v>369</v>
      </c>
      <c r="B52" s="7">
        <v>1</v>
      </c>
      <c r="C52" s="7">
        <v>1</v>
      </c>
    </row>
    <row x14ac:dyDescent="0.25" r="53" customHeight="1" ht="18.75">
      <c r="A53" s="2" t="s">
        <v>370</v>
      </c>
      <c r="B53" s="7">
        <v>1</v>
      </c>
      <c r="C53" s="7">
        <v>1</v>
      </c>
    </row>
    <row x14ac:dyDescent="0.25" r="54" customHeight="1" ht="18.75">
      <c r="A54" s="2" t="s">
        <v>371</v>
      </c>
      <c r="B54" s="7">
        <v>1</v>
      </c>
      <c r="C54" s="7">
        <v>1</v>
      </c>
    </row>
    <row x14ac:dyDescent="0.25" r="55" customHeight="1" ht="18.75">
      <c r="A55" s="2" t="s">
        <v>372</v>
      </c>
      <c r="B55" s="7">
        <v>1</v>
      </c>
      <c r="C55" s="7">
        <v>1</v>
      </c>
    </row>
    <row x14ac:dyDescent="0.25" r="56" customHeight="1" ht="18.75">
      <c r="A56" s="2" t="s">
        <v>373</v>
      </c>
      <c r="B56" s="7">
        <v>1</v>
      </c>
      <c r="C56" s="7">
        <v>1</v>
      </c>
    </row>
    <row x14ac:dyDescent="0.25" r="57" customHeight="1" ht="18.75">
      <c r="A57" s="2" t="s">
        <v>374</v>
      </c>
      <c r="B57" s="7">
        <v>1</v>
      </c>
      <c r="C57" s="7">
        <v>1</v>
      </c>
    </row>
    <row x14ac:dyDescent="0.25" r="58" customHeight="1" ht="18.75">
      <c r="A58" s="2" t="s">
        <v>375</v>
      </c>
      <c r="B58" s="7">
        <v>1</v>
      </c>
      <c r="C58" s="7">
        <v>1</v>
      </c>
    </row>
    <row x14ac:dyDescent="0.25" r="59" customHeight="1" ht="18.75">
      <c r="A59" s="2" t="s">
        <v>376</v>
      </c>
      <c r="B59" s="7">
        <v>1</v>
      </c>
      <c r="C59" s="7">
        <v>1</v>
      </c>
    </row>
    <row x14ac:dyDescent="0.25" r="60" customHeight="1" ht="18.75">
      <c r="A60" s="2" t="s">
        <v>377</v>
      </c>
      <c r="B60" s="7">
        <v>1</v>
      </c>
      <c r="C60" s="7">
        <v>1</v>
      </c>
    </row>
    <row x14ac:dyDescent="0.25" r="61" customHeight="1" ht="18.75">
      <c r="A61" s="2" t="s">
        <v>378</v>
      </c>
      <c r="B61" s="7">
        <v>1</v>
      </c>
      <c r="C61" s="7">
        <v>1</v>
      </c>
    </row>
    <row x14ac:dyDescent="0.25" r="62" customHeight="1" ht="18.75">
      <c r="A62" s="2" t="s">
        <v>379</v>
      </c>
      <c r="B62" s="7">
        <v>1</v>
      </c>
      <c r="C62" s="7">
        <v>1</v>
      </c>
    </row>
    <row x14ac:dyDescent="0.25" r="63" customHeight="1" ht="18.75">
      <c r="A63" s="2" t="s">
        <v>380</v>
      </c>
      <c r="B63" s="7">
        <v>1</v>
      </c>
      <c r="C63" s="7">
        <v>1</v>
      </c>
    </row>
    <row x14ac:dyDescent="0.25" r="64" customHeight="1" ht="18.75">
      <c r="A64" s="2" t="s">
        <v>381</v>
      </c>
      <c r="B64" s="7">
        <v>1</v>
      </c>
      <c r="C64" s="7">
        <v>1</v>
      </c>
    </row>
    <row x14ac:dyDescent="0.25" r="65" customHeight="1" ht="18.75">
      <c r="A65" s="2" t="s">
        <v>382</v>
      </c>
      <c r="B65" s="7">
        <v>1</v>
      </c>
      <c r="C65" s="7">
        <v>1</v>
      </c>
    </row>
    <row x14ac:dyDescent="0.25" r="66" customHeight="1" ht="18.75">
      <c r="A66" s="2" t="s">
        <v>383</v>
      </c>
      <c r="B66" s="7">
        <v>1</v>
      </c>
      <c r="C66" s="7">
        <v>1</v>
      </c>
    </row>
    <row x14ac:dyDescent="0.25" r="67" customHeight="1" ht="18.75">
      <c r="A67" s="2" t="s">
        <v>384</v>
      </c>
      <c r="B67" s="7">
        <v>1</v>
      </c>
      <c r="C67" s="7">
        <v>1</v>
      </c>
    </row>
    <row x14ac:dyDescent="0.25" r="68" customHeight="1" ht="18.75">
      <c r="A68" s="2" t="s">
        <v>385</v>
      </c>
      <c r="B68" s="7">
        <v>1</v>
      </c>
      <c r="C68" s="7">
        <v>1</v>
      </c>
    </row>
    <row x14ac:dyDescent="0.25" r="69" customHeight="1" ht="18.75">
      <c r="A69" s="2" t="s">
        <v>386</v>
      </c>
      <c r="B69" s="7">
        <v>1</v>
      </c>
      <c r="C69" s="7">
        <v>1</v>
      </c>
    </row>
    <row x14ac:dyDescent="0.25" r="70" customHeight="1" ht="18.75">
      <c r="A70" s="2" t="s">
        <v>387</v>
      </c>
      <c r="B70" s="7">
        <v>1</v>
      </c>
      <c r="C70" s="7">
        <v>1</v>
      </c>
    </row>
    <row x14ac:dyDescent="0.25" r="71" customHeight="1" ht="18.75">
      <c r="A71" s="2" t="s">
        <v>388</v>
      </c>
      <c r="B71" s="7">
        <v>1</v>
      </c>
      <c r="C71" s="7">
        <v>1</v>
      </c>
    </row>
    <row x14ac:dyDescent="0.25" r="72" customHeight="1" ht="18.75">
      <c r="A72" s="2" t="s">
        <v>389</v>
      </c>
      <c r="B72" s="7">
        <v>1</v>
      </c>
      <c r="C72" s="7">
        <v>1</v>
      </c>
    </row>
    <row x14ac:dyDescent="0.25" r="73" customHeight="1" ht="18.75">
      <c r="A73" s="2" t="s">
        <v>390</v>
      </c>
      <c r="B73" s="7">
        <v>1</v>
      </c>
      <c r="C73" s="7">
        <v>1</v>
      </c>
    </row>
    <row x14ac:dyDescent="0.25" r="74" customHeight="1" ht="18.75">
      <c r="A74" s="2" t="s">
        <v>391</v>
      </c>
      <c r="B74" s="7">
        <v>1</v>
      </c>
      <c r="C74" s="7">
        <v>1</v>
      </c>
    </row>
    <row x14ac:dyDescent="0.25" r="75" customHeight="1" ht="18.75">
      <c r="A75" s="2" t="s">
        <v>392</v>
      </c>
      <c r="B75" s="7">
        <v>1</v>
      </c>
      <c r="C75" s="7">
        <v>1</v>
      </c>
    </row>
    <row x14ac:dyDescent="0.25" r="76" customHeight="1" ht="18.75">
      <c r="A76" s="2" t="s">
        <v>393</v>
      </c>
      <c r="B76" s="7">
        <v>1</v>
      </c>
      <c r="C76" s="7">
        <v>1</v>
      </c>
    </row>
    <row x14ac:dyDescent="0.25" r="77" customHeight="1" ht="18.75">
      <c r="A77" s="2" t="s">
        <v>394</v>
      </c>
      <c r="B77" s="7">
        <v>1</v>
      </c>
      <c r="C77" s="7">
        <v>1</v>
      </c>
    </row>
    <row x14ac:dyDescent="0.25" r="78" customHeight="1" ht="18.75">
      <c r="A78" s="2" t="s">
        <v>395</v>
      </c>
      <c r="B78" s="7">
        <v>1</v>
      </c>
      <c r="C78" s="7">
        <v>1</v>
      </c>
    </row>
    <row x14ac:dyDescent="0.25" r="79" customHeight="1" ht="18.75">
      <c r="A79" s="2" t="s">
        <v>396</v>
      </c>
      <c r="B79" s="7">
        <v>1</v>
      </c>
      <c r="C79" s="7">
        <v>1</v>
      </c>
    </row>
    <row x14ac:dyDescent="0.25" r="80" customHeight="1" ht="18.75">
      <c r="A80" s="2" t="s">
        <v>397</v>
      </c>
      <c r="B80" s="7">
        <v>1</v>
      </c>
      <c r="C80" s="7">
        <v>1</v>
      </c>
    </row>
    <row x14ac:dyDescent="0.25" r="81" customHeight="1" ht="18.75">
      <c r="A81" s="2" t="s">
        <v>398</v>
      </c>
      <c r="B81" s="7">
        <v>1</v>
      </c>
      <c r="C81" s="7">
        <v>1</v>
      </c>
    </row>
    <row x14ac:dyDescent="0.25" r="82" customHeight="1" ht="18.75">
      <c r="A82" s="2" t="s">
        <v>399</v>
      </c>
      <c r="B82" s="7">
        <v>1</v>
      </c>
      <c r="C82" s="7">
        <v>1</v>
      </c>
    </row>
    <row x14ac:dyDescent="0.25" r="83" customHeight="1" ht="18.75">
      <c r="A83" s="2" t="s">
        <v>400</v>
      </c>
      <c r="B83" s="7">
        <v>1</v>
      </c>
      <c r="C83" s="7">
        <v>1</v>
      </c>
    </row>
    <row x14ac:dyDescent="0.25" r="84" customHeight="1" ht="18.75">
      <c r="A84" s="2" t="s">
        <v>401</v>
      </c>
      <c r="B84" s="7">
        <v>1</v>
      </c>
      <c r="C84" s="7">
        <v>1</v>
      </c>
    </row>
    <row x14ac:dyDescent="0.25" r="85" customHeight="1" ht="18.75">
      <c r="A85" s="2" t="s">
        <v>402</v>
      </c>
      <c r="B85" s="7">
        <v>1</v>
      </c>
      <c r="C85" s="7">
        <v>1</v>
      </c>
    </row>
    <row x14ac:dyDescent="0.25" r="86" customHeight="1" ht="18.75">
      <c r="A86" s="2" t="s">
        <v>403</v>
      </c>
      <c r="B86" s="7">
        <v>1</v>
      </c>
      <c r="C86" s="7">
        <v>1</v>
      </c>
    </row>
    <row x14ac:dyDescent="0.25" r="87" customHeight="1" ht="18.75">
      <c r="A87" s="2" t="s">
        <v>404</v>
      </c>
      <c r="B87" s="7">
        <v>1</v>
      </c>
      <c r="C87" s="7">
        <v>1</v>
      </c>
    </row>
    <row x14ac:dyDescent="0.25" r="88" customHeight="1" ht="18.75">
      <c r="A88" s="2" t="s">
        <v>405</v>
      </c>
      <c r="B88" s="7">
        <v>1</v>
      </c>
      <c r="C88" s="7">
        <v>1</v>
      </c>
    </row>
    <row x14ac:dyDescent="0.25" r="89" customHeight="1" ht="18.75">
      <c r="A89" s="2" t="s">
        <v>406</v>
      </c>
      <c r="B89" s="7">
        <v>1</v>
      </c>
      <c r="C89" s="7">
        <v>1</v>
      </c>
    </row>
    <row x14ac:dyDescent="0.25" r="90" customHeight="1" ht="18.75">
      <c r="A90" s="2" t="s">
        <v>407</v>
      </c>
      <c r="B90" s="7">
        <v>1</v>
      </c>
      <c r="C90" s="7">
        <v>1</v>
      </c>
    </row>
    <row x14ac:dyDescent="0.25" r="91" customHeight="1" ht="18.75">
      <c r="A91" s="2" t="s">
        <v>408</v>
      </c>
      <c r="B91" s="7">
        <v>1</v>
      </c>
      <c r="C91" s="7">
        <v>1</v>
      </c>
    </row>
    <row x14ac:dyDescent="0.25" r="92" customHeight="1" ht="18.75">
      <c r="A92" s="2" t="s">
        <v>409</v>
      </c>
      <c r="B92" s="7">
        <v>2</v>
      </c>
      <c r="C92" s="7">
        <v>2</v>
      </c>
    </row>
    <row x14ac:dyDescent="0.25" r="93" customHeight="1" ht="18.75">
      <c r="A93" s="2" t="s">
        <v>410</v>
      </c>
      <c r="B93" s="7">
        <v>2</v>
      </c>
      <c r="C93" s="7">
        <v>2</v>
      </c>
    </row>
    <row x14ac:dyDescent="0.25" r="94" customHeight="1" ht="18.75">
      <c r="A94" s="2" t="s">
        <v>411</v>
      </c>
      <c r="B94" s="7">
        <v>2</v>
      </c>
      <c r="C94" s="7">
        <v>2</v>
      </c>
    </row>
    <row x14ac:dyDescent="0.25" r="95" customHeight="1" ht="18.75">
      <c r="A95" s="2" t="s">
        <v>412</v>
      </c>
      <c r="B95" s="7">
        <v>2</v>
      </c>
      <c r="C95" s="7">
        <v>2</v>
      </c>
    </row>
    <row x14ac:dyDescent="0.25" r="96" customHeight="1" ht="18.75">
      <c r="A96" s="2" t="s">
        <v>413</v>
      </c>
      <c r="B96" s="7">
        <v>2</v>
      </c>
      <c r="C96" s="7">
        <v>2</v>
      </c>
    </row>
    <row x14ac:dyDescent="0.25" r="97" customHeight="1" ht="18.75">
      <c r="A97" s="2" t="s">
        <v>414</v>
      </c>
      <c r="B97" s="7">
        <v>2</v>
      </c>
      <c r="C97" s="7">
        <v>2</v>
      </c>
    </row>
    <row x14ac:dyDescent="0.25" r="98" customHeight="1" ht="18.75">
      <c r="A98" s="2" t="s">
        <v>415</v>
      </c>
      <c r="B98" s="7">
        <v>2</v>
      </c>
      <c r="C98" s="7">
        <v>2</v>
      </c>
    </row>
    <row x14ac:dyDescent="0.25" r="99" customHeight="1" ht="18.75">
      <c r="A99" s="2" t="s">
        <v>416</v>
      </c>
      <c r="B99" s="7">
        <v>2</v>
      </c>
      <c r="C99" s="7">
        <v>2</v>
      </c>
    </row>
    <row x14ac:dyDescent="0.25" r="100" customHeight="1" ht="18.75">
      <c r="A100" s="2" t="s">
        <v>417</v>
      </c>
      <c r="B100" s="7">
        <v>2</v>
      </c>
      <c r="C100" s="7">
        <v>2</v>
      </c>
    </row>
    <row x14ac:dyDescent="0.25" r="101" customHeight="1" ht="18.75">
      <c r="A101" s="2" t="s">
        <v>418</v>
      </c>
      <c r="B101" s="7">
        <v>2</v>
      </c>
      <c r="C101" s="7">
        <v>2</v>
      </c>
    </row>
    <row x14ac:dyDescent="0.25" r="102" customHeight="1" ht="18.75">
      <c r="A102" s="2" t="s">
        <v>419</v>
      </c>
      <c r="B102" s="7">
        <v>2</v>
      </c>
      <c r="C102" s="7">
        <v>2</v>
      </c>
    </row>
    <row x14ac:dyDescent="0.25" r="103" customHeight="1" ht="18.75">
      <c r="A103" s="2" t="s">
        <v>420</v>
      </c>
      <c r="B103" s="7">
        <v>2</v>
      </c>
      <c r="C103" s="7">
        <v>2</v>
      </c>
    </row>
    <row x14ac:dyDescent="0.25" r="104" customHeight="1" ht="18.75">
      <c r="A104" s="2" t="s">
        <v>421</v>
      </c>
      <c r="B104" s="7">
        <v>2</v>
      </c>
      <c r="C104" s="7">
        <v>2</v>
      </c>
    </row>
    <row x14ac:dyDescent="0.25" r="105" customHeight="1" ht="18.75">
      <c r="A105" s="2" t="s">
        <v>422</v>
      </c>
      <c r="B105" s="7">
        <v>2</v>
      </c>
      <c r="C105" s="7">
        <v>2</v>
      </c>
    </row>
    <row x14ac:dyDescent="0.25" r="106" customHeight="1" ht="18.75">
      <c r="A106" s="2" t="s">
        <v>423</v>
      </c>
      <c r="B106" s="7">
        <v>2</v>
      </c>
      <c r="C106" s="7">
        <v>2</v>
      </c>
    </row>
    <row x14ac:dyDescent="0.25" r="107" customHeight="1" ht="18.75">
      <c r="A107" s="2" t="s">
        <v>424</v>
      </c>
      <c r="B107" s="7">
        <v>2</v>
      </c>
      <c r="C107" s="7">
        <v>2</v>
      </c>
    </row>
    <row x14ac:dyDescent="0.25" r="108" customHeight="1" ht="18.75">
      <c r="A108" s="2" t="s">
        <v>425</v>
      </c>
      <c r="B108" s="7">
        <v>2</v>
      </c>
      <c r="C108" s="7">
        <v>2</v>
      </c>
    </row>
    <row x14ac:dyDescent="0.25" r="109" customHeight="1" ht="18.75">
      <c r="A109" s="2" t="s">
        <v>426</v>
      </c>
      <c r="B109" s="7">
        <v>2</v>
      </c>
      <c r="C109" s="7">
        <v>2</v>
      </c>
    </row>
    <row x14ac:dyDescent="0.25" r="110" customHeight="1" ht="18.75">
      <c r="A110" s="2" t="s">
        <v>427</v>
      </c>
      <c r="B110" s="7">
        <v>2</v>
      </c>
      <c r="C110" s="7">
        <v>2</v>
      </c>
    </row>
    <row x14ac:dyDescent="0.25" r="111" customHeight="1" ht="18.75">
      <c r="A111" s="2" t="s">
        <v>428</v>
      </c>
      <c r="B111" s="7">
        <v>2</v>
      </c>
      <c r="C111" s="7">
        <v>2</v>
      </c>
    </row>
    <row x14ac:dyDescent="0.25" r="112" customHeight="1" ht="18.75">
      <c r="A112" s="2" t="s">
        <v>429</v>
      </c>
      <c r="B112" s="7">
        <v>2</v>
      </c>
      <c r="C112" s="7">
        <v>2</v>
      </c>
    </row>
    <row x14ac:dyDescent="0.25" r="113" customHeight="1" ht="18.75">
      <c r="A113" s="2" t="s">
        <v>430</v>
      </c>
      <c r="B113" s="7">
        <v>2</v>
      </c>
      <c r="C113" s="7">
        <v>2</v>
      </c>
    </row>
    <row x14ac:dyDescent="0.25" r="114" customHeight="1" ht="18.75">
      <c r="A114" s="2" t="s">
        <v>431</v>
      </c>
      <c r="B114" s="7">
        <v>2</v>
      </c>
      <c r="C114" s="7">
        <v>2</v>
      </c>
    </row>
    <row x14ac:dyDescent="0.25" r="115" customHeight="1" ht="18.75">
      <c r="A115" s="2" t="s">
        <v>432</v>
      </c>
      <c r="B115" s="7">
        <v>2</v>
      </c>
      <c r="C115" s="7">
        <v>2</v>
      </c>
    </row>
    <row x14ac:dyDescent="0.25" r="116" customHeight="1" ht="18.75">
      <c r="A116" s="2" t="s">
        <v>433</v>
      </c>
      <c r="B116" s="7">
        <v>2</v>
      </c>
      <c r="C116" s="7">
        <v>2</v>
      </c>
    </row>
    <row x14ac:dyDescent="0.25" r="117" customHeight="1" ht="18.75">
      <c r="A117" s="2" t="s">
        <v>434</v>
      </c>
      <c r="B117" s="7">
        <v>2</v>
      </c>
      <c r="C117" s="7">
        <v>2</v>
      </c>
    </row>
    <row x14ac:dyDescent="0.25" r="118" customHeight="1" ht="18.75">
      <c r="A118" s="2" t="s">
        <v>435</v>
      </c>
      <c r="B118" s="7">
        <v>3</v>
      </c>
      <c r="C118" s="7">
        <v>3</v>
      </c>
    </row>
    <row x14ac:dyDescent="0.25" r="119" customHeight="1" ht="18.75">
      <c r="A119" s="2" t="s">
        <v>436</v>
      </c>
      <c r="B119" s="7">
        <v>3</v>
      </c>
      <c r="C119" s="7">
        <v>3</v>
      </c>
    </row>
    <row x14ac:dyDescent="0.25" r="120" customHeight="1" ht="18.75">
      <c r="A120" s="2" t="s">
        <v>437</v>
      </c>
      <c r="B120" s="7">
        <v>3</v>
      </c>
      <c r="C120" s="7">
        <v>3</v>
      </c>
    </row>
    <row x14ac:dyDescent="0.25" r="121" customHeight="1" ht="18.75">
      <c r="A121" s="2" t="s">
        <v>438</v>
      </c>
      <c r="B121" s="7">
        <v>3</v>
      </c>
      <c r="C121" s="7">
        <v>3</v>
      </c>
    </row>
    <row x14ac:dyDescent="0.25" r="122" customHeight="1" ht="18.75">
      <c r="A122" s="2" t="s">
        <v>439</v>
      </c>
      <c r="B122" s="7">
        <v>3</v>
      </c>
      <c r="C122" s="7">
        <v>3</v>
      </c>
    </row>
    <row x14ac:dyDescent="0.25" r="123" customHeight="1" ht="18.75">
      <c r="A123" s="2" t="s">
        <v>440</v>
      </c>
      <c r="B123" s="7">
        <v>3</v>
      </c>
      <c r="C123" s="7">
        <v>3</v>
      </c>
    </row>
    <row x14ac:dyDescent="0.25" r="124" customHeight="1" ht="18.75">
      <c r="A124" s="2" t="s">
        <v>441</v>
      </c>
      <c r="B124" s="7">
        <v>3</v>
      </c>
      <c r="C124" s="7">
        <v>3</v>
      </c>
    </row>
    <row x14ac:dyDescent="0.25" r="125" customHeight="1" ht="18.75">
      <c r="A125" s="2" t="s">
        <v>442</v>
      </c>
      <c r="B125" s="7">
        <v>3</v>
      </c>
      <c r="C125" s="7">
        <v>3</v>
      </c>
    </row>
    <row x14ac:dyDescent="0.25" r="126" customHeight="1" ht="18.75">
      <c r="A126" s="2" t="s">
        <v>443</v>
      </c>
      <c r="B126" s="7">
        <v>3</v>
      </c>
      <c r="C126" s="7">
        <v>3</v>
      </c>
    </row>
    <row x14ac:dyDescent="0.25" r="127" customHeight="1" ht="18.75">
      <c r="A127" s="2" t="s">
        <v>444</v>
      </c>
      <c r="B127" s="7">
        <v>3</v>
      </c>
      <c r="C127" s="7">
        <v>3</v>
      </c>
    </row>
    <row x14ac:dyDescent="0.25" r="128" customHeight="1" ht="18.75">
      <c r="A128" s="2" t="s">
        <v>445</v>
      </c>
      <c r="B128" s="7">
        <v>3</v>
      </c>
      <c r="C128" s="7">
        <v>3</v>
      </c>
    </row>
    <row x14ac:dyDescent="0.25" r="129" customHeight="1" ht="18.75">
      <c r="A129" s="2" t="s">
        <v>446</v>
      </c>
      <c r="B129" s="7">
        <v>3</v>
      </c>
      <c r="C129" s="7">
        <v>3</v>
      </c>
    </row>
    <row x14ac:dyDescent="0.25" r="130" customHeight="1" ht="18.75">
      <c r="A130" s="2" t="s">
        <v>447</v>
      </c>
      <c r="B130" s="7">
        <v>3</v>
      </c>
      <c r="C130" s="7">
        <v>3</v>
      </c>
    </row>
    <row x14ac:dyDescent="0.25" r="131" customHeight="1" ht="18.75">
      <c r="A131" s="2" t="s">
        <v>448</v>
      </c>
      <c r="B131" s="7">
        <v>3</v>
      </c>
      <c r="C131" s="7">
        <v>3</v>
      </c>
    </row>
    <row x14ac:dyDescent="0.25" r="132" customHeight="1" ht="18.75">
      <c r="A132" s="2" t="s">
        <v>449</v>
      </c>
      <c r="B132" s="7">
        <v>3</v>
      </c>
      <c r="C132" s="7">
        <v>3</v>
      </c>
    </row>
    <row x14ac:dyDescent="0.25" r="133" customHeight="1" ht="18.75">
      <c r="A133" s="2" t="s">
        <v>450</v>
      </c>
      <c r="B133" s="7">
        <v>3</v>
      </c>
      <c r="C133" s="7">
        <v>3</v>
      </c>
    </row>
    <row x14ac:dyDescent="0.25" r="134" customHeight="1" ht="18.75">
      <c r="A134" s="2" t="s">
        <v>451</v>
      </c>
      <c r="B134" s="7">
        <v>3</v>
      </c>
      <c r="C134" s="7">
        <v>3</v>
      </c>
    </row>
    <row x14ac:dyDescent="0.25" r="135" customHeight="1" ht="18.75">
      <c r="A135" s="2" t="s">
        <v>452</v>
      </c>
      <c r="B135" s="7">
        <v>4</v>
      </c>
      <c r="C135" s="7">
        <v>4</v>
      </c>
    </row>
    <row x14ac:dyDescent="0.25" r="136" customHeight="1" ht="18.75">
      <c r="A136" s="2" t="s">
        <v>453</v>
      </c>
      <c r="B136" s="7">
        <v>4</v>
      </c>
      <c r="C136" s="7">
        <v>4</v>
      </c>
    </row>
    <row x14ac:dyDescent="0.25" r="137" customHeight="1" ht="18.75">
      <c r="A137" s="2" t="s">
        <v>454</v>
      </c>
      <c r="B137" s="7">
        <v>4</v>
      </c>
      <c r="C137" s="7">
        <v>4</v>
      </c>
    </row>
    <row x14ac:dyDescent="0.25" r="138" customHeight="1" ht="18.75">
      <c r="A138" s="2" t="s">
        <v>455</v>
      </c>
      <c r="B138" s="7">
        <v>4</v>
      </c>
      <c r="C138" s="7">
        <v>4</v>
      </c>
    </row>
    <row x14ac:dyDescent="0.25" r="139" customHeight="1" ht="18.75">
      <c r="A139" s="2" t="s">
        <v>456</v>
      </c>
      <c r="B139" s="7">
        <v>4</v>
      </c>
      <c r="C139" s="7">
        <v>4</v>
      </c>
    </row>
    <row x14ac:dyDescent="0.25" r="140" customHeight="1" ht="18.75">
      <c r="A140" s="2" t="s">
        <v>457</v>
      </c>
      <c r="B140" s="7">
        <v>4</v>
      </c>
      <c r="C140" s="7">
        <v>4</v>
      </c>
    </row>
    <row x14ac:dyDescent="0.25" r="141" customHeight="1" ht="18.75">
      <c r="A141" s="2" t="s">
        <v>458</v>
      </c>
      <c r="B141" s="7">
        <v>4</v>
      </c>
      <c r="C141" s="7">
        <v>4</v>
      </c>
    </row>
    <row x14ac:dyDescent="0.25" r="142" customHeight="1" ht="18.75">
      <c r="A142" s="2" t="s">
        <v>459</v>
      </c>
      <c r="B142" s="7">
        <v>4</v>
      </c>
      <c r="C142" s="7">
        <v>4</v>
      </c>
    </row>
    <row x14ac:dyDescent="0.25" r="143" customHeight="1" ht="18.75">
      <c r="A143" s="2" t="s">
        <v>460</v>
      </c>
      <c r="B143" s="7">
        <v>4</v>
      </c>
      <c r="C143" s="7">
        <v>4</v>
      </c>
    </row>
    <row x14ac:dyDescent="0.25" r="144" customHeight="1" ht="18.75">
      <c r="A144" s="2" t="s">
        <v>461</v>
      </c>
      <c r="B144" s="7">
        <v>4</v>
      </c>
      <c r="C144" s="7">
        <v>4</v>
      </c>
    </row>
    <row x14ac:dyDescent="0.25" r="145" customHeight="1" ht="18.75">
      <c r="A145" s="2" t="s">
        <v>462</v>
      </c>
      <c r="B145" s="7">
        <v>4</v>
      </c>
      <c r="C145" s="7">
        <v>4</v>
      </c>
    </row>
    <row x14ac:dyDescent="0.25" r="146" customHeight="1" ht="18.75">
      <c r="A146" s="2" t="s">
        <v>463</v>
      </c>
      <c r="B146" s="7">
        <v>4</v>
      </c>
      <c r="C146" s="7">
        <v>4</v>
      </c>
    </row>
    <row x14ac:dyDescent="0.25" r="147" customHeight="1" ht="18.75">
      <c r="A147" s="2" t="s">
        <v>464</v>
      </c>
      <c r="B147" s="7">
        <v>5</v>
      </c>
      <c r="C147" s="7">
        <v>5</v>
      </c>
    </row>
    <row x14ac:dyDescent="0.25" r="148" customHeight="1" ht="18.75">
      <c r="A148" s="2" t="s">
        <v>465</v>
      </c>
      <c r="B148" s="7">
        <v>5</v>
      </c>
      <c r="C148" s="7">
        <v>5</v>
      </c>
    </row>
    <row x14ac:dyDescent="0.25" r="149" customHeight="1" ht="18.75">
      <c r="A149" s="2" t="s">
        <v>466</v>
      </c>
      <c r="B149" s="7">
        <v>5</v>
      </c>
      <c r="C149" s="7">
        <v>5</v>
      </c>
    </row>
    <row x14ac:dyDescent="0.25" r="150" customHeight="1" ht="18.75">
      <c r="A150" s="2" t="s">
        <v>467</v>
      </c>
      <c r="B150" s="7">
        <v>5</v>
      </c>
      <c r="C150" s="7">
        <v>5</v>
      </c>
    </row>
    <row x14ac:dyDescent="0.25" r="151" customHeight="1" ht="18.75">
      <c r="A151" s="2" t="s">
        <v>468</v>
      </c>
      <c r="B151" s="7">
        <v>5</v>
      </c>
      <c r="C151" s="7">
        <v>5</v>
      </c>
    </row>
    <row x14ac:dyDescent="0.25" r="152" customHeight="1" ht="18.75">
      <c r="A152" s="2" t="s">
        <v>469</v>
      </c>
      <c r="B152" s="7">
        <v>5</v>
      </c>
      <c r="C152" s="7">
        <v>5</v>
      </c>
    </row>
    <row x14ac:dyDescent="0.25" r="153" customHeight="1" ht="18.75">
      <c r="A153" s="2" t="s">
        <v>470</v>
      </c>
      <c r="B153" s="7">
        <v>5</v>
      </c>
      <c r="C153" s="7">
        <v>5</v>
      </c>
    </row>
    <row x14ac:dyDescent="0.25" r="154" customHeight="1" ht="18.75">
      <c r="A154" s="2" t="s">
        <v>471</v>
      </c>
      <c r="B154" s="7">
        <v>5</v>
      </c>
      <c r="C154" s="7">
        <v>5</v>
      </c>
    </row>
    <row x14ac:dyDescent="0.25" r="155" customHeight="1" ht="18.75">
      <c r="A155" s="2" t="s">
        <v>472</v>
      </c>
      <c r="B155" s="7">
        <v>5</v>
      </c>
      <c r="C155" s="7">
        <v>5</v>
      </c>
    </row>
    <row x14ac:dyDescent="0.25" r="156" customHeight="1" ht="18.75">
      <c r="A156" s="2" t="s">
        <v>473</v>
      </c>
      <c r="B156" s="7">
        <v>6</v>
      </c>
      <c r="C156" s="7">
        <v>6</v>
      </c>
    </row>
    <row x14ac:dyDescent="0.25" r="157" customHeight="1" ht="18.75">
      <c r="A157" s="2" t="s">
        <v>474</v>
      </c>
      <c r="B157" s="7">
        <v>6</v>
      </c>
      <c r="C157" s="7">
        <v>6</v>
      </c>
    </row>
    <row x14ac:dyDescent="0.25" r="158" customHeight="1" ht="18.75">
      <c r="A158" s="2" t="s">
        <v>475</v>
      </c>
      <c r="B158" s="7">
        <v>6</v>
      </c>
      <c r="C158" s="7">
        <v>6</v>
      </c>
    </row>
    <row x14ac:dyDescent="0.25" r="159" customHeight="1" ht="18.75">
      <c r="A159" s="2" t="s">
        <v>476</v>
      </c>
      <c r="B159" s="7">
        <v>6</v>
      </c>
      <c r="C159" s="7">
        <v>6</v>
      </c>
    </row>
    <row x14ac:dyDescent="0.25" r="160" customHeight="1" ht="18.75">
      <c r="A160" s="2" t="s">
        <v>477</v>
      </c>
      <c r="B160" s="7">
        <v>6</v>
      </c>
      <c r="C160" s="7">
        <v>6</v>
      </c>
    </row>
    <row x14ac:dyDescent="0.25" r="161" customHeight="1" ht="18.75">
      <c r="A161" s="2" t="s">
        <v>478</v>
      </c>
      <c r="B161" s="7">
        <v>6</v>
      </c>
      <c r="C161" s="7">
        <v>6</v>
      </c>
    </row>
    <row x14ac:dyDescent="0.25" r="162" customHeight="1" ht="18.75">
      <c r="A162" s="2" t="s">
        <v>479</v>
      </c>
      <c r="B162" s="7">
        <v>6</v>
      </c>
      <c r="C162" s="7">
        <v>6</v>
      </c>
    </row>
    <row x14ac:dyDescent="0.25" r="163" customHeight="1" ht="18.75">
      <c r="A163" s="2" t="s">
        <v>480</v>
      </c>
      <c r="B163" s="7">
        <v>6</v>
      </c>
      <c r="C163" s="7">
        <v>6</v>
      </c>
    </row>
    <row x14ac:dyDescent="0.25" r="164" customHeight="1" ht="18.75">
      <c r="A164" s="2" t="s">
        <v>481</v>
      </c>
      <c r="B164" s="7">
        <v>7</v>
      </c>
      <c r="C164" s="7">
        <v>7</v>
      </c>
    </row>
    <row x14ac:dyDescent="0.25" r="165" customHeight="1" ht="18.75">
      <c r="A165" s="2" t="s">
        <v>482</v>
      </c>
      <c r="B165" s="7">
        <v>7</v>
      </c>
      <c r="C165" s="7">
        <v>7</v>
      </c>
    </row>
    <row x14ac:dyDescent="0.25" r="166" customHeight="1" ht="18.75">
      <c r="A166" s="2" t="s">
        <v>483</v>
      </c>
      <c r="B166" s="7">
        <v>7</v>
      </c>
      <c r="C166" s="7">
        <v>7</v>
      </c>
    </row>
    <row x14ac:dyDescent="0.25" r="167" customHeight="1" ht="18.75">
      <c r="A167" s="2" t="s">
        <v>484</v>
      </c>
      <c r="B167" s="7">
        <v>7</v>
      </c>
      <c r="C167" s="7">
        <v>7</v>
      </c>
    </row>
    <row x14ac:dyDescent="0.25" r="168" customHeight="1" ht="18.75">
      <c r="A168" s="2" t="s">
        <v>485</v>
      </c>
      <c r="B168" s="7">
        <v>8</v>
      </c>
      <c r="C168" s="7">
        <v>8</v>
      </c>
    </row>
    <row x14ac:dyDescent="0.25" r="169" customHeight="1" ht="18.75">
      <c r="A169" s="2" t="s">
        <v>486</v>
      </c>
      <c r="B169" s="7">
        <v>8</v>
      </c>
      <c r="C169" s="7">
        <v>8</v>
      </c>
    </row>
    <row x14ac:dyDescent="0.25" r="170" customHeight="1" ht="18.75">
      <c r="A170" s="2" t="s">
        <v>487</v>
      </c>
      <c r="B170" s="7">
        <v>11</v>
      </c>
      <c r="C170" s="7">
        <v>11</v>
      </c>
    </row>
    <row x14ac:dyDescent="0.25" r="171" customHeight="1" ht="18.75">
      <c r="A171" s="2" t="s">
        <v>488</v>
      </c>
      <c r="B171" s="7">
        <v>12</v>
      </c>
      <c r="C171" s="7">
        <v>12</v>
      </c>
    </row>
    <row x14ac:dyDescent="0.25" r="172" customHeight="1" ht="18.75">
      <c r="A172" s="2" t="s">
        <v>489</v>
      </c>
      <c r="B172" s="7">
        <v>12</v>
      </c>
      <c r="C172" s="7">
        <v>12</v>
      </c>
    </row>
    <row x14ac:dyDescent="0.25" r="173" customHeight="1" ht="18.75">
      <c r="A173" s="2" t="s">
        <v>490</v>
      </c>
      <c r="B173" s="7">
        <v>12</v>
      </c>
      <c r="C173" s="7">
        <v>12</v>
      </c>
    </row>
    <row x14ac:dyDescent="0.25" r="174" customHeight="1" ht="18.75">
      <c r="A174" s="2" t="s">
        <v>491</v>
      </c>
      <c r="B174" s="7">
        <v>12</v>
      </c>
      <c r="C174" s="7">
        <v>12</v>
      </c>
    </row>
    <row x14ac:dyDescent="0.25" r="175" customHeight="1" ht="18.75">
      <c r="A175" s="2" t="s">
        <v>492</v>
      </c>
      <c r="B175" s="7">
        <v>17</v>
      </c>
      <c r="C175" s="7">
        <v>17</v>
      </c>
    </row>
    <row x14ac:dyDescent="0.25" r="176" customHeight="1" ht="18.75">
      <c r="A176" s="2" t="s">
        <v>643</v>
      </c>
      <c r="B176" s="7">
        <v>451</v>
      </c>
      <c r="C176" s="7">
        <v>451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319"/>
  <sheetViews>
    <sheetView workbookViewId="0"/>
  </sheetViews>
  <sheetFormatPr defaultRowHeight="15" x14ac:dyDescent="0.25"/>
  <cols>
    <col min="1" max="1" style="8" width="42.14785714285715" customWidth="1" bestFit="1"/>
    <col min="2" max="2" style="9" width="13.576428571428572" customWidth="1" bestFit="1"/>
  </cols>
  <sheetData>
    <row x14ac:dyDescent="0.25" r="1" customHeight="1" ht="18.75">
      <c r="A1" s="5" t="s">
        <v>320</v>
      </c>
      <c r="B1" s="6" t="s">
        <v>321</v>
      </c>
    </row>
    <row x14ac:dyDescent="0.25" r="2" customHeight="1" ht="18.75">
      <c r="A2" s="2" t="s">
        <v>322</v>
      </c>
      <c r="B2" s="7">
        <v>1</v>
      </c>
    </row>
    <row x14ac:dyDescent="0.25" r="3" customHeight="1" ht="18.75">
      <c r="A3" s="2" t="s">
        <v>323</v>
      </c>
      <c r="B3" s="7">
        <v>1</v>
      </c>
    </row>
    <row x14ac:dyDescent="0.25" r="4" customHeight="1" ht="18.75">
      <c r="A4" s="2" t="s">
        <v>324</v>
      </c>
      <c r="B4" s="7">
        <v>1</v>
      </c>
    </row>
    <row x14ac:dyDescent="0.25" r="5" customHeight="1" ht="18.75">
      <c r="A5" s="2" t="s">
        <v>325</v>
      </c>
      <c r="B5" s="7">
        <v>1</v>
      </c>
    </row>
    <row x14ac:dyDescent="0.25" r="6" customHeight="1" ht="18.75">
      <c r="A6" s="2" t="s">
        <v>326</v>
      </c>
      <c r="B6" s="7">
        <v>1</v>
      </c>
    </row>
    <row x14ac:dyDescent="0.25" r="7" customHeight="1" ht="18.75">
      <c r="A7" s="2" t="s">
        <v>327</v>
      </c>
      <c r="B7" s="7">
        <v>1</v>
      </c>
    </row>
    <row x14ac:dyDescent="0.25" r="8" customHeight="1" ht="18.75">
      <c r="A8" s="2" t="s">
        <v>328</v>
      </c>
      <c r="B8" s="7">
        <v>1</v>
      </c>
    </row>
    <row x14ac:dyDescent="0.25" r="9" customHeight="1" ht="18.75">
      <c r="A9" s="2" t="s">
        <v>329</v>
      </c>
      <c r="B9" s="7">
        <v>1</v>
      </c>
    </row>
    <row x14ac:dyDescent="0.25" r="10" customHeight="1" ht="18.75">
      <c r="A10" s="2" t="s">
        <v>330</v>
      </c>
      <c r="B10" s="7">
        <v>1</v>
      </c>
    </row>
    <row x14ac:dyDescent="0.25" r="11" customHeight="1" ht="18.75">
      <c r="A11" s="2" t="s">
        <v>331</v>
      </c>
      <c r="B11" s="7">
        <v>1</v>
      </c>
    </row>
    <row x14ac:dyDescent="0.25" r="12" customHeight="1" ht="18.75">
      <c r="A12" s="2" t="s">
        <v>332</v>
      </c>
      <c r="B12" s="7">
        <v>1</v>
      </c>
    </row>
    <row x14ac:dyDescent="0.25" r="13" customHeight="1" ht="18.75">
      <c r="A13" s="2" t="s">
        <v>333</v>
      </c>
      <c r="B13" s="7">
        <v>1</v>
      </c>
    </row>
    <row x14ac:dyDescent="0.25" r="14" customHeight="1" ht="18.75">
      <c r="A14" s="2" t="s">
        <v>334</v>
      </c>
      <c r="B14" s="7">
        <v>1</v>
      </c>
    </row>
    <row x14ac:dyDescent="0.25" r="15" customHeight="1" ht="18.75">
      <c r="A15" s="2" t="s">
        <v>335</v>
      </c>
      <c r="B15" s="7">
        <v>1</v>
      </c>
    </row>
    <row x14ac:dyDescent="0.25" r="16" customHeight="1" ht="18.75">
      <c r="A16" s="2" t="s">
        <v>336</v>
      </c>
      <c r="B16" s="7">
        <v>1</v>
      </c>
    </row>
    <row x14ac:dyDescent="0.25" r="17" customHeight="1" ht="18.75">
      <c r="A17" s="2" t="s">
        <v>337</v>
      </c>
      <c r="B17" s="7">
        <v>1</v>
      </c>
    </row>
    <row x14ac:dyDescent="0.25" r="18" customHeight="1" ht="18.75">
      <c r="A18" s="2" t="s">
        <v>338</v>
      </c>
      <c r="B18" s="7">
        <v>1</v>
      </c>
    </row>
    <row x14ac:dyDescent="0.25" r="19" customHeight="1" ht="18.75">
      <c r="A19" s="2" t="s">
        <v>339</v>
      </c>
      <c r="B19" s="7">
        <v>1</v>
      </c>
    </row>
    <row x14ac:dyDescent="0.25" r="20" customHeight="1" ht="18.75">
      <c r="A20" s="2" t="s">
        <v>340</v>
      </c>
      <c r="B20" s="7">
        <v>1</v>
      </c>
    </row>
    <row x14ac:dyDescent="0.25" r="21" customHeight="1" ht="18.75">
      <c r="A21" s="2" t="s">
        <v>341</v>
      </c>
      <c r="B21" s="7">
        <v>1</v>
      </c>
    </row>
    <row x14ac:dyDescent="0.25" r="22" customHeight="1" ht="18.75">
      <c r="A22" s="2" t="s">
        <v>342</v>
      </c>
      <c r="B22" s="7">
        <v>1</v>
      </c>
    </row>
    <row x14ac:dyDescent="0.25" r="23" customHeight="1" ht="18.75">
      <c r="A23" s="2" t="s">
        <v>343</v>
      </c>
      <c r="B23" s="7">
        <v>1</v>
      </c>
    </row>
    <row x14ac:dyDescent="0.25" r="24" customHeight="1" ht="18.75">
      <c r="A24" s="2" t="s">
        <v>344</v>
      </c>
      <c r="B24" s="7">
        <v>1</v>
      </c>
    </row>
    <row x14ac:dyDescent="0.25" r="25" customHeight="1" ht="18.75">
      <c r="A25" s="2" t="s">
        <v>345</v>
      </c>
      <c r="B25" s="7">
        <v>1</v>
      </c>
    </row>
    <row x14ac:dyDescent="0.25" r="26" customHeight="1" ht="18.75">
      <c r="A26" s="2" t="s">
        <v>346</v>
      </c>
      <c r="B26" s="7">
        <v>1</v>
      </c>
    </row>
    <row x14ac:dyDescent="0.25" r="27" customHeight="1" ht="18.75">
      <c r="A27" s="2" t="s">
        <v>347</v>
      </c>
      <c r="B27" s="7">
        <v>1</v>
      </c>
    </row>
    <row x14ac:dyDescent="0.25" r="28" customHeight="1" ht="18.75">
      <c r="A28" s="2" t="s">
        <v>348</v>
      </c>
      <c r="B28" s="7">
        <v>1</v>
      </c>
    </row>
    <row x14ac:dyDescent="0.25" r="29" customHeight="1" ht="18.75">
      <c r="A29" s="2" t="s">
        <v>349</v>
      </c>
      <c r="B29" s="7">
        <v>1</v>
      </c>
    </row>
    <row x14ac:dyDescent="0.25" r="30" customHeight="1" ht="18.75">
      <c r="A30" s="2" t="s">
        <v>350</v>
      </c>
      <c r="B30" s="7">
        <v>1</v>
      </c>
    </row>
    <row x14ac:dyDescent="0.25" r="31" customHeight="1" ht="18.75">
      <c r="A31" s="2" t="s">
        <v>351</v>
      </c>
      <c r="B31" s="7">
        <v>1</v>
      </c>
    </row>
    <row x14ac:dyDescent="0.25" r="32" customHeight="1" ht="18.75">
      <c r="A32" s="2" t="s">
        <v>352</v>
      </c>
      <c r="B32" s="7">
        <v>1</v>
      </c>
    </row>
    <row x14ac:dyDescent="0.25" r="33" customHeight="1" ht="18.75">
      <c r="A33" s="2" t="s">
        <v>353</v>
      </c>
      <c r="B33" s="7">
        <v>1</v>
      </c>
    </row>
    <row x14ac:dyDescent="0.25" r="34" customHeight="1" ht="18.75">
      <c r="A34" s="2" t="s">
        <v>354</v>
      </c>
      <c r="B34" s="7">
        <v>1</v>
      </c>
    </row>
    <row x14ac:dyDescent="0.25" r="35" customHeight="1" ht="18.75">
      <c r="A35" s="2" t="s">
        <v>355</v>
      </c>
      <c r="B35" s="7">
        <v>1</v>
      </c>
    </row>
    <row x14ac:dyDescent="0.25" r="36" customHeight="1" ht="18.75">
      <c r="A36" s="2" t="s">
        <v>356</v>
      </c>
      <c r="B36" s="7">
        <v>1</v>
      </c>
    </row>
    <row x14ac:dyDescent="0.25" r="37" customHeight="1" ht="18.75">
      <c r="A37" s="2" t="s">
        <v>357</v>
      </c>
      <c r="B37" s="7">
        <v>1</v>
      </c>
    </row>
    <row x14ac:dyDescent="0.25" r="38" customHeight="1" ht="18.75">
      <c r="A38" s="2" t="s">
        <v>358</v>
      </c>
      <c r="B38" s="7">
        <v>1</v>
      </c>
    </row>
    <row x14ac:dyDescent="0.25" r="39" customHeight="1" ht="18.75">
      <c r="A39" s="2" t="s">
        <v>359</v>
      </c>
      <c r="B39" s="7">
        <v>1</v>
      </c>
    </row>
    <row x14ac:dyDescent="0.25" r="40" customHeight="1" ht="18.75">
      <c r="A40" s="2" t="s">
        <v>360</v>
      </c>
      <c r="B40" s="7">
        <v>1</v>
      </c>
    </row>
    <row x14ac:dyDescent="0.25" r="41" customHeight="1" ht="18.75">
      <c r="A41" s="2" t="s">
        <v>361</v>
      </c>
      <c r="B41" s="7">
        <v>1</v>
      </c>
    </row>
    <row x14ac:dyDescent="0.25" r="42" customHeight="1" ht="18.75">
      <c r="A42" s="2" t="s">
        <v>362</v>
      </c>
      <c r="B42" s="7">
        <v>1</v>
      </c>
    </row>
    <row x14ac:dyDescent="0.25" r="43" customHeight="1" ht="18.75">
      <c r="A43" s="2" t="s">
        <v>363</v>
      </c>
      <c r="B43" s="7">
        <v>1</v>
      </c>
    </row>
    <row x14ac:dyDescent="0.25" r="44" customHeight="1" ht="18.75">
      <c r="A44" s="2" t="s">
        <v>364</v>
      </c>
      <c r="B44" s="7">
        <v>1</v>
      </c>
    </row>
    <row x14ac:dyDescent="0.25" r="45" customHeight="1" ht="18.75">
      <c r="A45" s="2" t="s">
        <v>365</v>
      </c>
      <c r="B45" s="7">
        <v>1</v>
      </c>
    </row>
    <row x14ac:dyDescent="0.25" r="46" customHeight="1" ht="18.75">
      <c r="A46" s="2" t="s">
        <v>366</v>
      </c>
      <c r="B46" s="7">
        <v>1</v>
      </c>
    </row>
    <row x14ac:dyDescent="0.25" r="47" customHeight="1" ht="18.75">
      <c r="A47" s="2" t="s">
        <v>367</v>
      </c>
      <c r="B47" s="7">
        <v>1</v>
      </c>
    </row>
    <row x14ac:dyDescent="0.25" r="48" customHeight="1" ht="18.75">
      <c r="A48" s="2" t="s">
        <v>368</v>
      </c>
      <c r="B48" s="7">
        <v>1</v>
      </c>
    </row>
    <row x14ac:dyDescent="0.25" r="49" customHeight="1" ht="18.75">
      <c r="A49" s="2" t="s">
        <v>369</v>
      </c>
      <c r="B49" s="7">
        <v>1</v>
      </c>
    </row>
    <row x14ac:dyDescent="0.25" r="50" customHeight="1" ht="18.75">
      <c r="A50" s="2" t="s">
        <v>370</v>
      </c>
      <c r="B50" s="7">
        <v>1</v>
      </c>
    </row>
    <row x14ac:dyDescent="0.25" r="51" customHeight="1" ht="18.75">
      <c r="A51" s="2" t="s">
        <v>371</v>
      </c>
      <c r="B51" s="7">
        <v>1</v>
      </c>
    </row>
    <row x14ac:dyDescent="0.25" r="52" customHeight="1" ht="18.75">
      <c r="A52" s="2" t="s">
        <v>372</v>
      </c>
      <c r="B52" s="7">
        <v>1</v>
      </c>
    </row>
    <row x14ac:dyDescent="0.25" r="53" customHeight="1" ht="18.75">
      <c r="A53" s="2" t="s">
        <v>373</v>
      </c>
      <c r="B53" s="7">
        <v>1</v>
      </c>
    </row>
    <row x14ac:dyDescent="0.25" r="54" customHeight="1" ht="18.75">
      <c r="A54" s="2" t="s">
        <v>374</v>
      </c>
      <c r="B54" s="7">
        <v>1</v>
      </c>
    </row>
    <row x14ac:dyDescent="0.25" r="55" customHeight="1" ht="18.75">
      <c r="A55" s="2" t="s">
        <v>375</v>
      </c>
      <c r="B55" s="7">
        <v>1</v>
      </c>
    </row>
    <row x14ac:dyDescent="0.25" r="56" customHeight="1" ht="18.75">
      <c r="A56" s="2" t="s">
        <v>376</v>
      </c>
      <c r="B56" s="7">
        <v>1</v>
      </c>
    </row>
    <row x14ac:dyDescent="0.25" r="57" customHeight="1" ht="18.75">
      <c r="A57" s="2" t="s">
        <v>377</v>
      </c>
      <c r="B57" s="7">
        <v>1</v>
      </c>
    </row>
    <row x14ac:dyDescent="0.25" r="58" customHeight="1" ht="18.75">
      <c r="A58" s="2" t="s">
        <v>378</v>
      </c>
      <c r="B58" s="7">
        <v>1</v>
      </c>
    </row>
    <row x14ac:dyDescent="0.25" r="59" customHeight="1" ht="18.75">
      <c r="A59" s="2" t="s">
        <v>379</v>
      </c>
      <c r="B59" s="7">
        <v>1</v>
      </c>
    </row>
    <row x14ac:dyDescent="0.25" r="60" customHeight="1" ht="18.75">
      <c r="A60" s="2" t="s">
        <v>380</v>
      </c>
      <c r="B60" s="7">
        <v>1</v>
      </c>
    </row>
    <row x14ac:dyDescent="0.25" r="61" customHeight="1" ht="18.75">
      <c r="A61" s="2" t="s">
        <v>381</v>
      </c>
      <c r="B61" s="7">
        <v>1</v>
      </c>
    </row>
    <row x14ac:dyDescent="0.25" r="62" customHeight="1" ht="18.75">
      <c r="A62" s="2" t="s">
        <v>382</v>
      </c>
      <c r="B62" s="7">
        <v>1</v>
      </c>
    </row>
    <row x14ac:dyDescent="0.25" r="63" customHeight="1" ht="18.75">
      <c r="A63" s="2" t="s">
        <v>383</v>
      </c>
      <c r="B63" s="7">
        <v>1</v>
      </c>
    </row>
    <row x14ac:dyDescent="0.25" r="64" customHeight="1" ht="18.75">
      <c r="A64" s="2" t="s">
        <v>384</v>
      </c>
      <c r="B64" s="7">
        <v>1</v>
      </c>
    </row>
    <row x14ac:dyDescent="0.25" r="65" customHeight="1" ht="18.75">
      <c r="A65" s="2" t="s">
        <v>385</v>
      </c>
      <c r="B65" s="7">
        <v>1</v>
      </c>
    </row>
    <row x14ac:dyDescent="0.25" r="66" customHeight="1" ht="18.75">
      <c r="A66" s="2" t="s">
        <v>386</v>
      </c>
      <c r="B66" s="7">
        <v>1</v>
      </c>
    </row>
    <row x14ac:dyDescent="0.25" r="67" customHeight="1" ht="18.75">
      <c r="A67" s="2" t="s">
        <v>387</v>
      </c>
      <c r="B67" s="7">
        <v>1</v>
      </c>
    </row>
    <row x14ac:dyDescent="0.25" r="68" customHeight="1" ht="18.75">
      <c r="A68" s="2" t="s">
        <v>388</v>
      </c>
      <c r="B68" s="7">
        <v>1</v>
      </c>
    </row>
    <row x14ac:dyDescent="0.25" r="69" customHeight="1" ht="18.75">
      <c r="A69" s="2" t="s">
        <v>389</v>
      </c>
      <c r="B69" s="7">
        <v>1</v>
      </c>
    </row>
    <row x14ac:dyDescent="0.25" r="70" customHeight="1" ht="18.75">
      <c r="A70" s="2" t="s">
        <v>390</v>
      </c>
      <c r="B70" s="7">
        <v>1</v>
      </c>
    </row>
    <row x14ac:dyDescent="0.25" r="71" customHeight="1" ht="18.75">
      <c r="A71" s="2" t="s">
        <v>391</v>
      </c>
      <c r="B71" s="7">
        <v>1</v>
      </c>
    </row>
    <row x14ac:dyDescent="0.25" r="72" customHeight="1" ht="18.75">
      <c r="A72" s="2" t="s">
        <v>392</v>
      </c>
      <c r="B72" s="7">
        <v>1</v>
      </c>
    </row>
    <row x14ac:dyDescent="0.25" r="73" customHeight="1" ht="18.75">
      <c r="A73" s="2" t="s">
        <v>393</v>
      </c>
      <c r="B73" s="7">
        <v>1</v>
      </c>
    </row>
    <row x14ac:dyDescent="0.25" r="74" customHeight="1" ht="18.75">
      <c r="A74" s="2" t="s">
        <v>394</v>
      </c>
      <c r="B74" s="7">
        <v>1</v>
      </c>
    </row>
    <row x14ac:dyDescent="0.25" r="75" customHeight="1" ht="18.75">
      <c r="A75" s="2" t="s">
        <v>395</v>
      </c>
      <c r="B75" s="7">
        <v>1</v>
      </c>
    </row>
    <row x14ac:dyDescent="0.25" r="76" customHeight="1" ht="18.75">
      <c r="A76" s="2" t="s">
        <v>396</v>
      </c>
      <c r="B76" s="7">
        <v>1</v>
      </c>
    </row>
    <row x14ac:dyDescent="0.25" r="77" customHeight="1" ht="18.75">
      <c r="A77" s="2" t="s">
        <v>397</v>
      </c>
      <c r="B77" s="7">
        <v>1</v>
      </c>
    </row>
    <row x14ac:dyDescent="0.25" r="78" customHeight="1" ht="18.75">
      <c r="A78" s="2" t="s">
        <v>398</v>
      </c>
      <c r="B78" s="7">
        <v>1</v>
      </c>
    </row>
    <row x14ac:dyDescent="0.25" r="79" customHeight="1" ht="18.75">
      <c r="A79" s="2" t="s">
        <v>399</v>
      </c>
      <c r="B79" s="7">
        <v>1</v>
      </c>
    </row>
    <row x14ac:dyDescent="0.25" r="80" customHeight="1" ht="18.75">
      <c r="A80" s="2" t="s">
        <v>400</v>
      </c>
      <c r="B80" s="7">
        <v>1</v>
      </c>
    </row>
    <row x14ac:dyDescent="0.25" r="81" customHeight="1" ht="18.75">
      <c r="A81" s="2" t="s">
        <v>401</v>
      </c>
      <c r="B81" s="7">
        <v>1</v>
      </c>
    </row>
    <row x14ac:dyDescent="0.25" r="82" customHeight="1" ht="18.75">
      <c r="A82" s="2" t="s">
        <v>402</v>
      </c>
      <c r="B82" s="7">
        <v>1</v>
      </c>
    </row>
    <row x14ac:dyDescent="0.25" r="83" customHeight="1" ht="18.75">
      <c r="A83" s="2" t="s">
        <v>403</v>
      </c>
      <c r="B83" s="7">
        <v>1</v>
      </c>
    </row>
    <row x14ac:dyDescent="0.25" r="84" customHeight="1" ht="18.75">
      <c r="A84" s="2" t="s">
        <v>404</v>
      </c>
      <c r="B84" s="7">
        <v>1</v>
      </c>
    </row>
    <row x14ac:dyDescent="0.25" r="85" customHeight="1" ht="18.75">
      <c r="A85" s="2" t="s">
        <v>405</v>
      </c>
      <c r="B85" s="7">
        <v>1</v>
      </c>
    </row>
    <row x14ac:dyDescent="0.25" r="86" customHeight="1" ht="18.75">
      <c r="A86" s="2" t="s">
        <v>406</v>
      </c>
      <c r="B86" s="7">
        <v>1</v>
      </c>
    </row>
    <row x14ac:dyDescent="0.25" r="87" customHeight="1" ht="18.75">
      <c r="A87" s="2" t="s">
        <v>407</v>
      </c>
      <c r="B87" s="7">
        <v>1</v>
      </c>
    </row>
    <row x14ac:dyDescent="0.25" r="88" customHeight="1" ht="18.75">
      <c r="A88" s="2" t="s">
        <v>408</v>
      </c>
      <c r="B88" s="7">
        <v>1</v>
      </c>
    </row>
    <row x14ac:dyDescent="0.25" r="89" customHeight="1" ht="18.75">
      <c r="A89" s="2" t="s">
        <v>409</v>
      </c>
      <c r="B89" s="7">
        <v>2</v>
      </c>
    </row>
    <row x14ac:dyDescent="0.25" r="90" customHeight="1" ht="18.75">
      <c r="A90" s="2" t="s">
        <v>410</v>
      </c>
      <c r="B90" s="7">
        <v>2</v>
      </c>
    </row>
    <row x14ac:dyDescent="0.25" r="91" customHeight="1" ht="18.75">
      <c r="A91" s="2" t="s">
        <v>411</v>
      </c>
      <c r="B91" s="7">
        <v>2</v>
      </c>
    </row>
    <row x14ac:dyDescent="0.25" r="92" customHeight="1" ht="18.75">
      <c r="A92" s="2" t="s">
        <v>412</v>
      </c>
      <c r="B92" s="7">
        <v>2</v>
      </c>
    </row>
    <row x14ac:dyDescent="0.25" r="93" customHeight="1" ht="18.75">
      <c r="A93" s="2" t="s">
        <v>413</v>
      </c>
      <c r="B93" s="7">
        <v>2</v>
      </c>
    </row>
    <row x14ac:dyDescent="0.25" r="94" customHeight="1" ht="18.75">
      <c r="A94" s="2" t="s">
        <v>414</v>
      </c>
      <c r="B94" s="7">
        <v>2</v>
      </c>
    </row>
    <row x14ac:dyDescent="0.25" r="95" customHeight="1" ht="18.75">
      <c r="A95" s="2" t="s">
        <v>415</v>
      </c>
      <c r="B95" s="7">
        <v>2</v>
      </c>
    </row>
    <row x14ac:dyDescent="0.25" r="96" customHeight="1" ht="18.75">
      <c r="A96" s="2" t="s">
        <v>416</v>
      </c>
      <c r="B96" s="7">
        <v>2</v>
      </c>
    </row>
    <row x14ac:dyDescent="0.25" r="97" customHeight="1" ht="18.75">
      <c r="A97" s="2" t="s">
        <v>417</v>
      </c>
      <c r="B97" s="7">
        <v>2</v>
      </c>
    </row>
    <row x14ac:dyDescent="0.25" r="98" customHeight="1" ht="18.75">
      <c r="A98" s="2" t="s">
        <v>418</v>
      </c>
      <c r="B98" s="7">
        <v>2</v>
      </c>
    </row>
    <row x14ac:dyDescent="0.25" r="99" customHeight="1" ht="18.75">
      <c r="A99" s="2" t="s">
        <v>419</v>
      </c>
      <c r="B99" s="7">
        <v>2</v>
      </c>
    </row>
    <row x14ac:dyDescent="0.25" r="100" customHeight="1" ht="18.75">
      <c r="A100" s="2" t="s">
        <v>420</v>
      </c>
      <c r="B100" s="7">
        <v>2</v>
      </c>
    </row>
    <row x14ac:dyDescent="0.25" r="101" customHeight="1" ht="18.75">
      <c r="A101" s="2" t="s">
        <v>421</v>
      </c>
      <c r="B101" s="7">
        <v>2</v>
      </c>
    </row>
    <row x14ac:dyDescent="0.25" r="102" customHeight="1" ht="18.75">
      <c r="A102" s="2" t="s">
        <v>422</v>
      </c>
      <c r="B102" s="7">
        <v>2</v>
      </c>
    </row>
    <row x14ac:dyDescent="0.25" r="103" customHeight="1" ht="18.75">
      <c r="A103" s="2" t="s">
        <v>423</v>
      </c>
      <c r="B103" s="7">
        <v>2</v>
      </c>
    </row>
    <row x14ac:dyDescent="0.25" r="104" customHeight="1" ht="18.75">
      <c r="A104" s="2" t="s">
        <v>424</v>
      </c>
      <c r="B104" s="7">
        <v>2</v>
      </c>
    </row>
    <row x14ac:dyDescent="0.25" r="105" customHeight="1" ht="18.75">
      <c r="A105" s="2" t="s">
        <v>425</v>
      </c>
      <c r="B105" s="7">
        <v>2</v>
      </c>
    </row>
    <row x14ac:dyDescent="0.25" r="106" customHeight="1" ht="18.75">
      <c r="A106" s="2" t="s">
        <v>426</v>
      </c>
      <c r="B106" s="7">
        <v>2</v>
      </c>
    </row>
    <row x14ac:dyDescent="0.25" r="107" customHeight="1" ht="18.75">
      <c r="A107" s="2" t="s">
        <v>427</v>
      </c>
      <c r="B107" s="7">
        <v>2</v>
      </c>
    </row>
    <row x14ac:dyDescent="0.25" r="108" customHeight="1" ht="18.75">
      <c r="A108" s="2" t="s">
        <v>428</v>
      </c>
      <c r="B108" s="7">
        <v>2</v>
      </c>
    </row>
    <row x14ac:dyDescent="0.25" r="109" customHeight="1" ht="18.75">
      <c r="A109" s="2" t="s">
        <v>429</v>
      </c>
      <c r="B109" s="7">
        <v>2</v>
      </c>
    </row>
    <row x14ac:dyDescent="0.25" r="110" customHeight="1" ht="18.75">
      <c r="A110" s="2" t="s">
        <v>430</v>
      </c>
      <c r="B110" s="7">
        <v>2</v>
      </c>
    </row>
    <row x14ac:dyDescent="0.25" r="111" customHeight="1" ht="18.75">
      <c r="A111" s="2" t="s">
        <v>431</v>
      </c>
      <c r="B111" s="7">
        <v>2</v>
      </c>
    </row>
    <row x14ac:dyDescent="0.25" r="112" customHeight="1" ht="18.75">
      <c r="A112" s="2" t="s">
        <v>432</v>
      </c>
      <c r="B112" s="7">
        <v>2</v>
      </c>
    </row>
    <row x14ac:dyDescent="0.25" r="113" customHeight="1" ht="18.75">
      <c r="A113" s="2" t="s">
        <v>433</v>
      </c>
      <c r="B113" s="7">
        <v>2</v>
      </c>
    </row>
    <row x14ac:dyDescent="0.25" r="114" customHeight="1" ht="18.75">
      <c r="A114" s="2" t="s">
        <v>434</v>
      </c>
      <c r="B114" s="7">
        <v>2</v>
      </c>
    </row>
    <row x14ac:dyDescent="0.25" r="115" customHeight="1" ht="18.75">
      <c r="A115" s="2" t="s">
        <v>435</v>
      </c>
      <c r="B115" s="7">
        <v>3</v>
      </c>
    </row>
    <row x14ac:dyDescent="0.25" r="116" customHeight="1" ht="18.75">
      <c r="A116" s="2" t="s">
        <v>436</v>
      </c>
      <c r="B116" s="7">
        <v>3</v>
      </c>
    </row>
    <row x14ac:dyDescent="0.25" r="117" customHeight="1" ht="18.75">
      <c r="A117" s="2" t="s">
        <v>437</v>
      </c>
      <c r="B117" s="7">
        <v>3</v>
      </c>
    </row>
    <row x14ac:dyDescent="0.25" r="118" customHeight="1" ht="18.75">
      <c r="A118" s="2" t="s">
        <v>438</v>
      </c>
      <c r="B118" s="7">
        <v>3</v>
      </c>
    </row>
    <row x14ac:dyDescent="0.25" r="119" customHeight="1" ht="18.75">
      <c r="A119" s="2" t="s">
        <v>439</v>
      </c>
      <c r="B119" s="7">
        <v>3</v>
      </c>
    </row>
    <row x14ac:dyDescent="0.25" r="120" customHeight="1" ht="18.75">
      <c r="A120" s="2" t="s">
        <v>440</v>
      </c>
      <c r="B120" s="7">
        <v>3</v>
      </c>
    </row>
    <row x14ac:dyDescent="0.25" r="121" customHeight="1" ht="18.75">
      <c r="A121" s="2" t="s">
        <v>441</v>
      </c>
      <c r="B121" s="7">
        <v>3</v>
      </c>
    </row>
    <row x14ac:dyDescent="0.25" r="122" customHeight="1" ht="18.75">
      <c r="A122" s="2" t="s">
        <v>442</v>
      </c>
      <c r="B122" s="7">
        <v>3</v>
      </c>
    </row>
    <row x14ac:dyDescent="0.25" r="123" customHeight="1" ht="18.75">
      <c r="A123" s="2" t="s">
        <v>443</v>
      </c>
      <c r="B123" s="7">
        <v>3</v>
      </c>
    </row>
    <row x14ac:dyDescent="0.25" r="124" customHeight="1" ht="18.75">
      <c r="A124" s="2" t="s">
        <v>444</v>
      </c>
      <c r="B124" s="7">
        <v>3</v>
      </c>
    </row>
    <row x14ac:dyDescent="0.25" r="125" customHeight="1" ht="18.75">
      <c r="A125" s="2" t="s">
        <v>445</v>
      </c>
      <c r="B125" s="7">
        <v>3</v>
      </c>
    </row>
    <row x14ac:dyDescent="0.25" r="126" customHeight="1" ht="18.75">
      <c r="A126" s="2" t="s">
        <v>446</v>
      </c>
      <c r="B126" s="7">
        <v>3</v>
      </c>
    </row>
    <row x14ac:dyDescent="0.25" r="127" customHeight="1" ht="18.75">
      <c r="A127" s="2" t="s">
        <v>447</v>
      </c>
      <c r="B127" s="7">
        <v>3</v>
      </c>
    </row>
    <row x14ac:dyDescent="0.25" r="128" customHeight="1" ht="18.75">
      <c r="A128" s="2" t="s">
        <v>448</v>
      </c>
      <c r="B128" s="7">
        <v>3</v>
      </c>
    </row>
    <row x14ac:dyDescent="0.25" r="129" customHeight="1" ht="18.75">
      <c r="A129" s="2" t="s">
        <v>449</v>
      </c>
      <c r="B129" s="7">
        <v>3</v>
      </c>
    </row>
    <row x14ac:dyDescent="0.25" r="130" customHeight="1" ht="18.75">
      <c r="A130" s="2" t="s">
        <v>450</v>
      </c>
      <c r="B130" s="7">
        <v>3</v>
      </c>
    </row>
    <row x14ac:dyDescent="0.25" r="131" customHeight="1" ht="18.75">
      <c r="A131" s="2" t="s">
        <v>451</v>
      </c>
      <c r="B131" s="7">
        <v>3</v>
      </c>
    </row>
    <row x14ac:dyDescent="0.25" r="132" customHeight="1" ht="18.75">
      <c r="A132" s="2" t="s">
        <v>452</v>
      </c>
      <c r="B132" s="7">
        <v>4</v>
      </c>
    </row>
    <row x14ac:dyDescent="0.25" r="133" customHeight="1" ht="18.75">
      <c r="A133" s="2" t="s">
        <v>453</v>
      </c>
      <c r="B133" s="7">
        <v>4</v>
      </c>
    </row>
    <row x14ac:dyDescent="0.25" r="134" customHeight="1" ht="18.75">
      <c r="A134" s="2" t="s">
        <v>454</v>
      </c>
      <c r="B134" s="7">
        <v>4</v>
      </c>
    </row>
    <row x14ac:dyDescent="0.25" r="135" customHeight="1" ht="18.75">
      <c r="A135" s="2" t="s">
        <v>455</v>
      </c>
      <c r="B135" s="7">
        <v>4</v>
      </c>
    </row>
    <row x14ac:dyDescent="0.25" r="136" customHeight="1" ht="18.75">
      <c r="A136" s="2" t="s">
        <v>456</v>
      </c>
      <c r="B136" s="7">
        <v>4</v>
      </c>
    </row>
    <row x14ac:dyDescent="0.25" r="137" customHeight="1" ht="18.75">
      <c r="A137" s="2" t="s">
        <v>457</v>
      </c>
      <c r="B137" s="7">
        <v>4</v>
      </c>
    </row>
    <row x14ac:dyDescent="0.25" r="138" customHeight="1" ht="18.75">
      <c r="A138" s="2" t="s">
        <v>458</v>
      </c>
      <c r="B138" s="7">
        <v>4</v>
      </c>
    </row>
    <row x14ac:dyDescent="0.25" r="139" customHeight="1" ht="18.75">
      <c r="A139" s="2" t="s">
        <v>459</v>
      </c>
      <c r="B139" s="7">
        <v>4</v>
      </c>
    </row>
    <row x14ac:dyDescent="0.25" r="140" customHeight="1" ht="18.75">
      <c r="A140" s="2" t="s">
        <v>460</v>
      </c>
      <c r="B140" s="7">
        <v>4</v>
      </c>
    </row>
    <row x14ac:dyDescent="0.25" r="141" customHeight="1" ht="18.75">
      <c r="A141" s="2" t="s">
        <v>461</v>
      </c>
      <c r="B141" s="7">
        <v>4</v>
      </c>
    </row>
    <row x14ac:dyDescent="0.25" r="142" customHeight="1" ht="18.75">
      <c r="A142" s="2" t="s">
        <v>462</v>
      </c>
      <c r="B142" s="7">
        <v>4</v>
      </c>
    </row>
    <row x14ac:dyDescent="0.25" r="143" customHeight="1" ht="18.75">
      <c r="A143" s="2" t="s">
        <v>463</v>
      </c>
      <c r="B143" s="7">
        <v>4</v>
      </c>
    </row>
    <row x14ac:dyDescent="0.25" r="144" customHeight="1" ht="18.75">
      <c r="A144" s="2" t="s">
        <v>464</v>
      </c>
      <c r="B144" s="7">
        <v>5</v>
      </c>
    </row>
    <row x14ac:dyDescent="0.25" r="145" customHeight="1" ht="18.75">
      <c r="A145" s="2" t="s">
        <v>465</v>
      </c>
      <c r="B145" s="7">
        <v>5</v>
      </c>
    </row>
    <row x14ac:dyDescent="0.25" r="146" customHeight="1" ht="18.75">
      <c r="A146" s="2" t="s">
        <v>466</v>
      </c>
      <c r="B146" s="7">
        <v>5</v>
      </c>
    </row>
    <row x14ac:dyDescent="0.25" r="147" customHeight="1" ht="18.75">
      <c r="A147" s="2" t="s">
        <v>467</v>
      </c>
      <c r="B147" s="7">
        <v>5</v>
      </c>
    </row>
    <row x14ac:dyDescent="0.25" r="148" customHeight="1" ht="18.75">
      <c r="A148" s="2" t="s">
        <v>468</v>
      </c>
      <c r="B148" s="7">
        <v>5</v>
      </c>
    </row>
    <row x14ac:dyDescent="0.25" r="149" customHeight="1" ht="18.75">
      <c r="A149" s="2" t="s">
        <v>469</v>
      </c>
      <c r="B149" s="7">
        <v>5</v>
      </c>
    </row>
    <row x14ac:dyDescent="0.25" r="150" customHeight="1" ht="18.75">
      <c r="A150" s="2" t="s">
        <v>470</v>
      </c>
      <c r="B150" s="7">
        <v>5</v>
      </c>
    </row>
    <row x14ac:dyDescent="0.25" r="151" customHeight="1" ht="18.75">
      <c r="A151" s="2" t="s">
        <v>471</v>
      </c>
      <c r="B151" s="7">
        <v>5</v>
      </c>
    </row>
    <row x14ac:dyDescent="0.25" r="152" customHeight="1" ht="18.75">
      <c r="A152" s="2" t="s">
        <v>472</v>
      </c>
      <c r="B152" s="7">
        <v>5</v>
      </c>
    </row>
    <row x14ac:dyDescent="0.25" r="153" customHeight="1" ht="18.75">
      <c r="A153" s="2" t="s">
        <v>473</v>
      </c>
      <c r="B153" s="7">
        <v>6</v>
      </c>
    </row>
    <row x14ac:dyDescent="0.25" r="154" customHeight="1" ht="18.75">
      <c r="A154" s="2" t="s">
        <v>474</v>
      </c>
      <c r="B154" s="7">
        <v>6</v>
      </c>
    </row>
    <row x14ac:dyDescent="0.25" r="155" customHeight="1" ht="18.75">
      <c r="A155" s="2" t="s">
        <v>475</v>
      </c>
      <c r="B155" s="7">
        <v>6</v>
      </c>
    </row>
    <row x14ac:dyDescent="0.25" r="156" customHeight="1" ht="18.75">
      <c r="A156" s="2" t="s">
        <v>476</v>
      </c>
      <c r="B156" s="7">
        <v>6</v>
      </c>
    </row>
    <row x14ac:dyDescent="0.25" r="157" customHeight="1" ht="18.75">
      <c r="A157" s="2" t="s">
        <v>477</v>
      </c>
      <c r="B157" s="7">
        <v>6</v>
      </c>
    </row>
    <row x14ac:dyDescent="0.25" r="158" customHeight="1" ht="18.75">
      <c r="A158" s="2" t="s">
        <v>478</v>
      </c>
      <c r="B158" s="7">
        <v>6</v>
      </c>
    </row>
    <row x14ac:dyDescent="0.25" r="159" customHeight="1" ht="18.75">
      <c r="A159" s="2" t="s">
        <v>479</v>
      </c>
      <c r="B159" s="7">
        <v>6</v>
      </c>
    </row>
    <row x14ac:dyDescent="0.25" r="160" customHeight="1" ht="18.75">
      <c r="A160" s="2" t="s">
        <v>480</v>
      </c>
      <c r="B160" s="7">
        <v>6</v>
      </c>
    </row>
    <row x14ac:dyDescent="0.25" r="161" customHeight="1" ht="18.75">
      <c r="A161" s="2" t="s">
        <v>481</v>
      </c>
      <c r="B161" s="7">
        <v>7</v>
      </c>
    </row>
    <row x14ac:dyDescent="0.25" r="162" customHeight="1" ht="18.75">
      <c r="A162" s="2" t="s">
        <v>482</v>
      </c>
      <c r="B162" s="7">
        <v>7</v>
      </c>
    </row>
    <row x14ac:dyDescent="0.25" r="163" customHeight="1" ht="18.75">
      <c r="A163" s="2" t="s">
        <v>483</v>
      </c>
      <c r="B163" s="7">
        <v>7</v>
      </c>
    </row>
    <row x14ac:dyDescent="0.25" r="164" customHeight="1" ht="18.75">
      <c r="A164" s="2" t="s">
        <v>484</v>
      </c>
      <c r="B164" s="7">
        <v>7</v>
      </c>
    </row>
    <row x14ac:dyDescent="0.25" r="165" customHeight="1" ht="18.75">
      <c r="A165" s="2" t="s">
        <v>485</v>
      </c>
      <c r="B165" s="7">
        <v>8</v>
      </c>
    </row>
    <row x14ac:dyDescent="0.25" r="166" customHeight="1" ht="18.75">
      <c r="A166" s="2" t="s">
        <v>486</v>
      </c>
      <c r="B166" s="7">
        <v>8</v>
      </c>
    </row>
    <row x14ac:dyDescent="0.25" r="167" customHeight="1" ht="18.75">
      <c r="A167" s="2" t="s">
        <v>487</v>
      </c>
      <c r="B167" s="7">
        <v>11</v>
      </c>
    </row>
    <row x14ac:dyDescent="0.25" r="168" customHeight="1" ht="18.75">
      <c r="A168" s="2" t="s">
        <v>488</v>
      </c>
      <c r="B168" s="7">
        <v>12</v>
      </c>
    </row>
    <row x14ac:dyDescent="0.25" r="169" customHeight="1" ht="18.75">
      <c r="A169" s="2" t="s">
        <v>489</v>
      </c>
      <c r="B169" s="7">
        <v>12</v>
      </c>
    </row>
    <row x14ac:dyDescent="0.25" r="170" customHeight="1" ht="18.75">
      <c r="A170" s="2" t="s">
        <v>490</v>
      </c>
      <c r="B170" s="7">
        <v>12</v>
      </c>
    </row>
    <row x14ac:dyDescent="0.25" r="171" customHeight="1" ht="18.75">
      <c r="A171" s="2" t="s">
        <v>491</v>
      </c>
      <c r="B171" s="7">
        <v>12</v>
      </c>
    </row>
    <row x14ac:dyDescent="0.25" r="172" customHeight="1" ht="18.75">
      <c r="A172" s="2" t="s">
        <v>492</v>
      </c>
      <c r="B172" s="7">
        <v>17</v>
      </c>
    </row>
    <row x14ac:dyDescent="0.25" r="173" customHeight="1" ht="18.75">
      <c r="A173" s="2" t="s">
        <v>493</v>
      </c>
      <c r="B173" s="7">
        <v>1</v>
      </c>
    </row>
    <row x14ac:dyDescent="0.25" r="174" customHeight="1" ht="18.75">
      <c r="A174" s="2" t="s">
        <v>494</v>
      </c>
      <c r="B174" s="7">
        <v>1</v>
      </c>
    </row>
    <row x14ac:dyDescent="0.25" r="175" customHeight="1" ht="18.75">
      <c r="A175" s="2" t="s">
        <v>495</v>
      </c>
      <c r="B175" s="7">
        <v>1</v>
      </c>
    </row>
    <row x14ac:dyDescent="0.25" r="176" customHeight="1" ht="18.75">
      <c r="A176" s="2" t="s">
        <v>496</v>
      </c>
      <c r="B176" s="7">
        <v>1</v>
      </c>
    </row>
    <row x14ac:dyDescent="0.25" r="177" customHeight="1" ht="18.75">
      <c r="A177" s="2" t="s">
        <v>497</v>
      </c>
      <c r="B177" s="7">
        <v>1</v>
      </c>
    </row>
    <row x14ac:dyDescent="0.25" r="178" customHeight="1" ht="18.75">
      <c r="A178" s="2" t="s">
        <v>498</v>
      </c>
      <c r="B178" s="7">
        <v>1</v>
      </c>
    </row>
    <row x14ac:dyDescent="0.25" r="179" customHeight="1" ht="18.75">
      <c r="A179" s="2" t="s">
        <v>499</v>
      </c>
      <c r="B179" s="7">
        <v>1</v>
      </c>
    </row>
    <row x14ac:dyDescent="0.25" r="180" customHeight="1" ht="18.75">
      <c r="A180" s="2" t="s">
        <v>500</v>
      </c>
      <c r="B180" s="7">
        <v>1</v>
      </c>
    </row>
    <row x14ac:dyDescent="0.25" r="181" customHeight="1" ht="18.75">
      <c r="A181" s="2" t="s">
        <v>501</v>
      </c>
      <c r="B181" s="7">
        <v>1</v>
      </c>
    </row>
    <row x14ac:dyDescent="0.25" r="182" customHeight="1" ht="18.75">
      <c r="A182" s="2" t="s">
        <v>502</v>
      </c>
      <c r="B182" s="7">
        <v>1</v>
      </c>
    </row>
    <row x14ac:dyDescent="0.25" r="183" customHeight="1" ht="18.75">
      <c r="A183" s="2" t="s">
        <v>503</v>
      </c>
      <c r="B183" s="7">
        <v>1</v>
      </c>
    </row>
    <row x14ac:dyDescent="0.25" r="184" customHeight="1" ht="18.75">
      <c r="A184" s="2" t="s">
        <v>504</v>
      </c>
      <c r="B184" s="7">
        <v>1</v>
      </c>
    </row>
    <row x14ac:dyDescent="0.25" r="185" customHeight="1" ht="18.75">
      <c r="A185" s="2" t="s">
        <v>505</v>
      </c>
      <c r="B185" s="7">
        <v>1</v>
      </c>
    </row>
    <row x14ac:dyDescent="0.25" r="186" customHeight="1" ht="18.75">
      <c r="A186" s="2" t="s">
        <v>506</v>
      </c>
      <c r="B186" s="7">
        <v>1</v>
      </c>
    </row>
    <row x14ac:dyDescent="0.25" r="187" customHeight="1" ht="18.75">
      <c r="A187" s="2" t="s">
        <v>507</v>
      </c>
      <c r="B187" s="7">
        <v>1</v>
      </c>
    </row>
    <row x14ac:dyDescent="0.25" r="188" customHeight="1" ht="18.75">
      <c r="A188" s="2" t="s">
        <v>508</v>
      </c>
      <c r="B188" s="7">
        <v>1</v>
      </c>
    </row>
    <row x14ac:dyDescent="0.25" r="189" customHeight="1" ht="18.75">
      <c r="A189" s="2" t="s">
        <v>509</v>
      </c>
      <c r="B189" s="7">
        <v>1</v>
      </c>
    </row>
    <row x14ac:dyDescent="0.25" r="190" customHeight="1" ht="18.75">
      <c r="A190" s="2" t="s">
        <v>510</v>
      </c>
      <c r="B190" s="7">
        <v>1</v>
      </c>
    </row>
    <row x14ac:dyDescent="0.25" r="191" customHeight="1" ht="18.75">
      <c r="A191" s="2" t="s">
        <v>511</v>
      </c>
      <c r="B191" s="7">
        <v>1</v>
      </c>
    </row>
    <row x14ac:dyDescent="0.25" r="192" customHeight="1" ht="18.75">
      <c r="A192" s="2" t="s">
        <v>512</v>
      </c>
      <c r="B192" s="7">
        <v>1</v>
      </c>
    </row>
    <row x14ac:dyDescent="0.25" r="193" customHeight="1" ht="18.75">
      <c r="A193" s="2" t="s">
        <v>513</v>
      </c>
      <c r="B193" s="7">
        <v>1</v>
      </c>
    </row>
    <row x14ac:dyDescent="0.25" r="194" customHeight="1" ht="18.75">
      <c r="A194" s="2" t="s">
        <v>514</v>
      </c>
      <c r="B194" s="7">
        <v>1</v>
      </c>
    </row>
    <row x14ac:dyDescent="0.25" r="195" customHeight="1" ht="18.75">
      <c r="A195" s="2" t="s">
        <v>515</v>
      </c>
      <c r="B195" s="7">
        <v>1</v>
      </c>
    </row>
    <row x14ac:dyDescent="0.25" r="196" customHeight="1" ht="18.75">
      <c r="A196" s="2" t="s">
        <v>516</v>
      </c>
      <c r="B196" s="7">
        <v>1</v>
      </c>
    </row>
    <row x14ac:dyDescent="0.25" r="197" customHeight="1" ht="18.75">
      <c r="A197" s="2" t="s">
        <v>517</v>
      </c>
      <c r="B197" s="7">
        <v>1</v>
      </c>
    </row>
    <row x14ac:dyDescent="0.25" r="198" customHeight="1" ht="18.75">
      <c r="A198" s="2" t="s">
        <v>518</v>
      </c>
      <c r="B198" s="7">
        <v>1</v>
      </c>
    </row>
    <row x14ac:dyDescent="0.25" r="199" customHeight="1" ht="18.75">
      <c r="A199" s="2" t="s">
        <v>519</v>
      </c>
      <c r="B199" s="7">
        <v>1</v>
      </c>
    </row>
    <row x14ac:dyDescent="0.25" r="200" customHeight="1" ht="18.75">
      <c r="A200" s="2" t="s">
        <v>520</v>
      </c>
      <c r="B200" s="7">
        <v>1</v>
      </c>
    </row>
    <row x14ac:dyDescent="0.25" r="201" customHeight="1" ht="18.75">
      <c r="A201" s="2" t="s">
        <v>521</v>
      </c>
      <c r="B201" s="7">
        <v>1</v>
      </c>
    </row>
    <row x14ac:dyDescent="0.25" r="202" customHeight="1" ht="18.75">
      <c r="A202" s="2" t="s">
        <v>522</v>
      </c>
      <c r="B202" s="7">
        <v>1</v>
      </c>
    </row>
    <row x14ac:dyDescent="0.25" r="203" customHeight="1" ht="18.75">
      <c r="A203" s="2" t="s">
        <v>523</v>
      </c>
      <c r="B203" s="7">
        <v>1</v>
      </c>
    </row>
    <row x14ac:dyDescent="0.25" r="204" customHeight="1" ht="18.75">
      <c r="A204" s="2" t="s">
        <v>524</v>
      </c>
      <c r="B204" s="7">
        <v>1</v>
      </c>
    </row>
    <row x14ac:dyDescent="0.25" r="205" customHeight="1" ht="18.75">
      <c r="A205" s="2" t="s">
        <v>525</v>
      </c>
      <c r="B205" s="7">
        <v>1</v>
      </c>
    </row>
    <row x14ac:dyDescent="0.25" r="206" customHeight="1" ht="18.75">
      <c r="A206" s="2" t="s">
        <v>526</v>
      </c>
      <c r="B206" s="7">
        <v>1</v>
      </c>
    </row>
    <row x14ac:dyDescent="0.25" r="207" customHeight="1" ht="18.75">
      <c r="A207" s="2" t="s">
        <v>527</v>
      </c>
      <c r="B207" s="7">
        <v>1</v>
      </c>
    </row>
    <row x14ac:dyDescent="0.25" r="208" customHeight="1" ht="18.75">
      <c r="A208" s="2" t="s">
        <v>528</v>
      </c>
      <c r="B208" s="7">
        <v>1</v>
      </c>
    </row>
    <row x14ac:dyDescent="0.25" r="209" customHeight="1" ht="18.75">
      <c r="A209" s="2" t="s">
        <v>529</v>
      </c>
      <c r="B209" s="7">
        <v>1</v>
      </c>
    </row>
    <row x14ac:dyDescent="0.25" r="210" customHeight="1" ht="18.75">
      <c r="A210" s="2" t="s">
        <v>530</v>
      </c>
      <c r="B210" s="7">
        <v>1</v>
      </c>
    </row>
    <row x14ac:dyDescent="0.25" r="211" customHeight="1" ht="18.75">
      <c r="A211" s="2" t="s">
        <v>531</v>
      </c>
      <c r="B211" s="7">
        <v>1</v>
      </c>
    </row>
    <row x14ac:dyDescent="0.25" r="212" customHeight="1" ht="18.75">
      <c r="A212" s="2" t="s">
        <v>532</v>
      </c>
      <c r="B212" s="7">
        <v>1</v>
      </c>
    </row>
    <row x14ac:dyDescent="0.25" r="213" customHeight="1" ht="18.75">
      <c r="A213" s="2" t="s">
        <v>533</v>
      </c>
      <c r="B213" s="7">
        <v>1</v>
      </c>
    </row>
    <row x14ac:dyDescent="0.25" r="214" customHeight="1" ht="18.75">
      <c r="A214" s="2" t="s">
        <v>534</v>
      </c>
      <c r="B214" s="7">
        <v>1</v>
      </c>
    </row>
    <row x14ac:dyDescent="0.25" r="215" customHeight="1" ht="18.75">
      <c r="A215" s="2" t="s">
        <v>535</v>
      </c>
      <c r="B215" s="7">
        <v>1</v>
      </c>
    </row>
    <row x14ac:dyDescent="0.25" r="216" customHeight="1" ht="18.75">
      <c r="A216" s="2" t="s">
        <v>536</v>
      </c>
      <c r="B216" s="7">
        <v>1</v>
      </c>
    </row>
    <row x14ac:dyDescent="0.25" r="217" customHeight="1" ht="18.75">
      <c r="A217" s="2" t="s">
        <v>537</v>
      </c>
      <c r="B217" s="7">
        <v>1</v>
      </c>
    </row>
    <row x14ac:dyDescent="0.25" r="218" customHeight="1" ht="18.75">
      <c r="A218" s="2" t="s">
        <v>538</v>
      </c>
      <c r="B218" s="7">
        <v>1</v>
      </c>
    </row>
    <row x14ac:dyDescent="0.25" r="219" customHeight="1" ht="18.75">
      <c r="A219" s="2" t="s">
        <v>539</v>
      </c>
      <c r="B219" s="7">
        <v>1</v>
      </c>
    </row>
    <row x14ac:dyDescent="0.25" r="220" customHeight="1" ht="18.75">
      <c r="A220" s="2" t="s">
        <v>540</v>
      </c>
      <c r="B220" s="7">
        <v>1</v>
      </c>
    </row>
    <row x14ac:dyDescent="0.25" r="221" customHeight="1" ht="18.75">
      <c r="A221" s="2" t="s">
        <v>541</v>
      </c>
      <c r="B221" s="7">
        <v>1</v>
      </c>
    </row>
    <row x14ac:dyDescent="0.25" r="222" customHeight="1" ht="18.75">
      <c r="A222" s="2" t="s">
        <v>542</v>
      </c>
      <c r="B222" s="7">
        <v>1</v>
      </c>
    </row>
    <row x14ac:dyDescent="0.25" r="223" customHeight="1" ht="18.75">
      <c r="A223" s="2" t="s">
        <v>543</v>
      </c>
      <c r="B223" s="7">
        <v>1</v>
      </c>
    </row>
    <row x14ac:dyDescent="0.25" r="224" customHeight="1" ht="18.75">
      <c r="A224" s="2" t="s">
        <v>544</v>
      </c>
      <c r="B224" s="7">
        <v>1</v>
      </c>
    </row>
    <row x14ac:dyDescent="0.25" r="225" customHeight="1" ht="18.75">
      <c r="A225" s="2" t="s">
        <v>545</v>
      </c>
      <c r="B225" s="7">
        <v>1</v>
      </c>
    </row>
    <row x14ac:dyDescent="0.25" r="226" customHeight="1" ht="18.75">
      <c r="A226" s="2" t="s">
        <v>546</v>
      </c>
      <c r="B226" s="7">
        <v>1</v>
      </c>
    </row>
    <row x14ac:dyDescent="0.25" r="227" customHeight="1" ht="18.75">
      <c r="A227" s="2" t="s">
        <v>547</v>
      </c>
      <c r="B227" s="7">
        <v>1</v>
      </c>
    </row>
    <row x14ac:dyDescent="0.25" r="228" customHeight="1" ht="18.75">
      <c r="A228" s="2" t="s">
        <v>548</v>
      </c>
      <c r="B228" s="7">
        <v>1</v>
      </c>
    </row>
    <row x14ac:dyDescent="0.25" r="229" customHeight="1" ht="18.75">
      <c r="A229" s="2" t="s">
        <v>549</v>
      </c>
      <c r="B229" s="7">
        <v>1</v>
      </c>
    </row>
    <row x14ac:dyDescent="0.25" r="230" customHeight="1" ht="18.75">
      <c r="A230" s="2" t="s">
        <v>550</v>
      </c>
      <c r="B230" s="7">
        <v>1</v>
      </c>
    </row>
    <row x14ac:dyDescent="0.25" r="231" customHeight="1" ht="18.75">
      <c r="A231" s="2" t="s">
        <v>551</v>
      </c>
      <c r="B231" s="7">
        <v>1</v>
      </c>
    </row>
    <row x14ac:dyDescent="0.25" r="232" customHeight="1" ht="18.75">
      <c r="A232" s="2" t="s">
        <v>552</v>
      </c>
      <c r="B232" s="7">
        <v>1</v>
      </c>
    </row>
    <row x14ac:dyDescent="0.25" r="233" customHeight="1" ht="18.75">
      <c r="A233" s="2" t="s">
        <v>553</v>
      </c>
      <c r="B233" s="7">
        <v>1</v>
      </c>
    </row>
    <row x14ac:dyDescent="0.25" r="234" customHeight="1" ht="18.75">
      <c r="A234" s="2" t="s">
        <v>554</v>
      </c>
      <c r="B234" s="7">
        <v>1</v>
      </c>
    </row>
    <row x14ac:dyDescent="0.25" r="235" customHeight="1" ht="18.75">
      <c r="A235" s="2" t="s">
        <v>555</v>
      </c>
      <c r="B235" s="7">
        <v>1</v>
      </c>
    </row>
    <row x14ac:dyDescent="0.25" r="236" customHeight="1" ht="18.75">
      <c r="A236" s="2" t="s">
        <v>556</v>
      </c>
      <c r="B236" s="7">
        <v>1</v>
      </c>
    </row>
    <row x14ac:dyDescent="0.25" r="237" customHeight="1" ht="18.75">
      <c r="A237" s="2" t="s">
        <v>557</v>
      </c>
      <c r="B237" s="7">
        <v>1</v>
      </c>
    </row>
    <row x14ac:dyDescent="0.25" r="238" customHeight="1" ht="18.75">
      <c r="A238" s="2" t="s">
        <v>558</v>
      </c>
      <c r="B238" s="7">
        <v>1</v>
      </c>
    </row>
    <row x14ac:dyDescent="0.25" r="239" customHeight="1" ht="18.75">
      <c r="A239" s="2" t="s">
        <v>559</v>
      </c>
      <c r="B239" s="7">
        <v>1</v>
      </c>
    </row>
    <row x14ac:dyDescent="0.25" r="240" customHeight="1" ht="18.75">
      <c r="A240" s="2" t="s">
        <v>560</v>
      </c>
      <c r="B240" s="7">
        <v>1</v>
      </c>
    </row>
    <row x14ac:dyDescent="0.25" r="241" customHeight="1" ht="18.75">
      <c r="A241" s="2" t="s">
        <v>561</v>
      </c>
      <c r="B241" s="7">
        <v>1</v>
      </c>
    </row>
    <row x14ac:dyDescent="0.25" r="242" customHeight="1" ht="18.75">
      <c r="A242" s="2" t="s">
        <v>562</v>
      </c>
      <c r="B242" s="7">
        <v>1</v>
      </c>
    </row>
    <row x14ac:dyDescent="0.25" r="243" customHeight="1" ht="18.75">
      <c r="A243" s="2" t="s">
        <v>563</v>
      </c>
      <c r="B243" s="7">
        <v>1</v>
      </c>
    </row>
    <row x14ac:dyDescent="0.25" r="244" customHeight="1" ht="18.75">
      <c r="A244" s="2" t="s">
        <v>564</v>
      </c>
      <c r="B244" s="7">
        <v>1</v>
      </c>
    </row>
    <row x14ac:dyDescent="0.25" r="245" customHeight="1" ht="18.75">
      <c r="A245" s="2" t="s">
        <v>565</v>
      </c>
      <c r="B245" s="7">
        <v>1</v>
      </c>
    </row>
    <row x14ac:dyDescent="0.25" r="246" customHeight="1" ht="18.75">
      <c r="A246" s="2" t="s">
        <v>566</v>
      </c>
      <c r="B246" s="7">
        <v>1</v>
      </c>
    </row>
    <row x14ac:dyDescent="0.25" r="247" customHeight="1" ht="18.75">
      <c r="A247" s="2" t="s">
        <v>567</v>
      </c>
      <c r="B247" s="7">
        <v>1</v>
      </c>
    </row>
    <row x14ac:dyDescent="0.25" r="248" customHeight="1" ht="18.75">
      <c r="A248" s="2" t="s">
        <v>568</v>
      </c>
      <c r="B248" s="7">
        <v>1</v>
      </c>
    </row>
    <row x14ac:dyDescent="0.25" r="249" customHeight="1" ht="18.75">
      <c r="A249" s="2" t="s">
        <v>569</v>
      </c>
      <c r="B249" s="7">
        <v>1</v>
      </c>
    </row>
    <row x14ac:dyDescent="0.25" r="250" customHeight="1" ht="18.75">
      <c r="A250" s="2" t="s">
        <v>570</v>
      </c>
      <c r="B250" s="7">
        <v>1</v>
      </c>
    </row>
    <row x14ac:dyDescent="0.25" r="251" customHeight="1" ht="18.75">
      <c r="A251" s="2" t="s">
        <v>571</v>
      </c>
      <c r="B251" s="7">
        <v>1</v>
      </c>
    </row>
    <row x14ac:dyDescent="0.25" r="252" customHeight="1" ht="18.75">
      <c r="A252" s="2" t="s">
        <v>572</v>
      </c>
      <c r="B252" s="7">
        <v>1</v>
      </c>
    </row>
    <row x14ac:dyDescent="0.25" r="253" customHeight="1" ht="18.75">
      <c r="A253" s="2" t="s">
        <v>573</v>
      </c>
      <c r="B253" s="7">
        <v>1</v>
      </c>
    </row>
    <row x14ac:dyDescent="0.25" r="254" customHeight="1" ht="18.75">
      <c r="A254" s="2" t="s">
        <v>574</v>
      </c>
      <c r="B254" s="7">
        <v>1</v>
      </c>
    </row>
    <row x14ac:dyDescent="0.25" r="255" customHeight="1" ht="18.75">
      <c r="A255" s="2" t="s">
        <v>575</v>
      </c>
      <c r="B255" s="7">
        <v>1</v>
      </c>
    </row>
    <row x14ac:dyDescent="0.25" r="256" customHeight="1" ht="18.75">
      <c r="A256" s="2" t="s">
        <v>576</v>
      </c>
      <c r="B256" s="7">
        <v>1</v>
      </c>
    </row>
    <row x14ac:dyDescent="0.25" r="257" customHeight="1" ht="18.75">
      <c r="A257" s="2" t="s">
        <v>577</v>
      </c>
      <c r="B257" s="7">
        <v>1</v>
      </c>
    </row>
    <row x14ac:dyDescent="0.25" r="258" customHeight="1" ht="18.75">
      <c r="A258" s="2" t="s">
        <v>578</v>
      </c>
      <c r="B258" s="7">
        <v>1</v>
      </c>
    </row>
    <row x14ac:dyDescent="0.25" r="259" customHeight="1" ht="18.75">
      <c r="A259" s="2" t="s">
        <v>579</v>
      </c>
      <c r="B259" s="7">
        <v>1</v>
      </c>
    </row>
    <row x14ac:dyDescent="0.25" r="260" customHeight="1" ht="18.75">
      <c r="A260" s="2" t="s">
        <v>580</v>
      </c>
      <c r="B260" s="7">
        <v>1</v>
      </c>
    </row>
    <row x14ac:dyDescent="0.25" r="261" customHeight="1" ht="18.75">
      <c r="A261" s="2" t="s">
        <v>581</v>
      </c>
      <c r="B261" s="7">
        <v>1</v>
      </c>
    </row>
    <row x14ac:dyDescent="0.25" r="262" customHeight="1" ht="18.75">
      <c r="A262" s="2" t="s">
        <v>582</v>
      </c>
      <c r="B262" s="7">
        <v>1</v>
      </c>
    </row>
    <row x14ac:dyDescent="0.25" r="263" customHeight="1" ht="18.75">
      <c r="A263" s="2" t="s">
        <v>583</v>
      </c>
      <c r="B263" s="7">
        <v>1</v>
      </c>
    </row>
    <row x14ac:dyDescent="0.25" r="264" customHeight="1" ht="18.75">
      <c r="A264" s="2" t="s">
        <v>584</v>
      </c>
      <c r="B264" s="7">
        <v>1</v>
      </c>
    </row>
    <row x14ac:dyDescent="0.25" r="265" customHeight="1" ht="18.75">
      <c r="A265" s="2" t="s">
        <v>585</v>
      </c>
      <c r="B265" s="7">
        <v>1</v>
      </c>
    </row>
    <row x14ac:dyDescent="0.25" r="266" customHeight="1" ht="18.75">
      <c r="A266" s="2" t="s">
        <v>586</v>
      </c>
      <c r="B266" s="7">
        <v>1</v>
      </c>
    </row>
    <row x14ac:dyDescent="0.25" r="267" customHeight="1" ht="18.75">
      <c r="A267" s="2" t="s">
        <v>587</v>
      </c>
      <c r="B267" s="7">
        <v>1</v>
      </c>
    </row>
    <row x14ac:dyDescent="0.25" r="268" customHeight="1" ht="18.75">
      <c r="A268" s="2" t="s">
        <v>588</v>
      </c>
      <c r="B268" s="7">
        <v>1</v>
      </c>
    </row>
    <row x14ac:dyDescent="0.25" r="269" customHeight="1" ht="18.75">
      <c r="A269" s="2" t="s">
        <v>589</v>
      </c>
      <c r="B269" s="7">
        <v>1</v>
      </c>
    </row>
    <row x14ac:dyDescent="0.25" r="270" customHeight="1" ht="18.75">
      <c r="A270" s="2" t="s">
        <v>590</v>
      </c>
      <c r="B270" s="7">
        <v>1</v>
      </c>
    </row>
    <row x14ac:dyDescent="0.25" r="271" customHeight="1" ht="18.75">
      <c r="A271" s="2" t="s">
        <v>591</v>
      </c>
      <c r="B271" s="7">
        <v>1</v>
      </c>
    </row>
    <row x14ac:dyDescent="0.25" r="272" customHeight="1" ht="18.75">
      <c r="A272" s="2" t="s">
        <v>592</v>
      </c>
      <c r="B272" s="7">
        <v>2</v>
      </c>
    </row>
    <row x14ac:dyDescent="0.25" r="273" customHeight="1" ht="18.75">
      <c r="A273" s="2" t="s">
        <v>593</v>
      </c>
      <c r="B273" s="7">
        <v>2</v>
      </c>
    </row>
    <row x14ac:dyDescent="0.25" r="274" customHeight="1" ht="18.75">
      <c r="A274" s="2" t="s">
        <v>594</v>
      </c>
      <c r="B274" s="7">
        <v>2</v>
      </c>
    </row>
    <row x14ac:dyDescent="0.25" r="275" customHeight="1" ht="18.75">
      <c r="A275" s="2" t="s">
        <v>595</v>
      </c>
      <c r="B275" s="7">
        <v>2</v>
      </c>
    </row>
    <row x14ac:dyDescent="0.25" r="276" customHeight="1" ht="18.75">
      <c r="A276" s="2" t="s">
        <v>596</v>
      </c>
      <c r="B276" s="7">
        <v>2</v>
      </c>
    </row>
    <row x14ac:dyDescent="0.25" r="277" customHeight="1" ht="18.75">
      <c r="A277" s="2" t="s">
        <v>597</v>
      </c>
      <c r="B277" s="7">
        <v>2</v>
      </c>
    </row>
    <row x14ac:dyDescent="0.25" r="278" customHeight="1" ht="18.75">
      <c r="A278" s="2" t="s">
        <v>598</v>
      </c>
      <c r="B278" s="7">
        <v>2</v>
      </c>
    </row>
    <row x14ac:dyDescent="0.25" r="279" customHeight="1" ht="18.75">
      <c r="A279" s="2" t="s">
        <v>599</v>
      </c>
      <c r="B279" s="7">
        <v>2</v>
      </c>
    </row>
    <row x14ac:dyDescent="0.25" r="280" customHeight="1" ht="18.75">
      <c r="A280" s="2" t="s">
        <v>600</v>
      </c>
      <c r="B280" s="7">
        <v>3</v>
      </c>
    </row>
    <row x14ac:dyDescent="0.25" r="281" customHeight="1" ht="18.75">
      <c r="A281" s="2" t="s">
        <v>601</v>
      </c>
      <c r="B281" s="7">
        <v>3</v>
      </c>
    </row>
    <row x14ac:dyDescent="0.25" r="282" customHeight="1" ht="18.75">
      <c r="A282" s="2" t="s">
        <v>602</v>
      </c>
      <c r="B282" s="7">
        <v>3</v>
      </c>
    </row>
    <row x14ac:dyDescent="0.25" r="283" customHeight="1" ht="18.75">
      <c r="A283" s="2" t="s">
        <v>603</v>
      </c>
      <c r="B283" s="7">
        <v>3</v>
      </c>
    </row>
    <row x14ac:dyDescent="0.25" r="284" customHeight="1" ht="18.75">
      <c r="A284" s="2" t="s">
        <v>604</v>
      </c>
      <c r="B284" s="7">
        <v>3</v>
      </c>
    </row>
    <row x14ac:dyDescent="0.25" r="285" customHeight="1" ht="18.75">
      <c r="A285" s="2" t="s">
        <v>605</v>
      </c>
      <c r="B285" s="7">
        <v>4</v>
      </c>
    </row>
    <row x14ac:dyDescent="0.25" r="286" customHeight="1" ht="18.75">
      <c r="A286" s="2" t="s">
        <v>606</v>
      </c>
      <c r="B286" s="7">
        <v>4</v>
      </c>
    </row>
    <row x14ac:dyDescent="0.25" r="287" customHeight="1" ht="18.75">
      <c r="A287" s="2" t="s">
        <v>607</v>
      </c>
      <c r="B287" s="7">
        <v>6</v>
      </c>
    </row>
    <row x14ac:dyDescent="0.25" r="288" customHeight="1" ht="18.75">
      <c r="A288" s="2" t="s">
        <v>608</v>
      </c>
      <c r="B288" s="7">
        <v>7</v>
      </c>
    </row>
    <row x14ac:dyDescent="0.25" r="289" customHeight="1" ht="18.75">
      <c r="A289" s="2" t="s">
        <v>609</v>
      </c>
      <c r="B289" s="7">
        <v>10</v>
      </c>
    </row>
    <row x14ac:dyDescent="0.25" r="290" customHeight="1" ht="18.75">
      <c r="A290" s="2" t="s">
        <v>610</v>
      </c>
      <c r="B290" s="7">
        <v>11</v>
      </c>
    </row>
    <row x14ac:dyDescent="0.25" r="291" customHeight="1" ht="18.75">
      <c r="A291" s="2" t="s">
        <v>611</v>
      </c>
      <c r="B291" s="7">
        <v>11</v>
      </c>
    </row>
    <row x14ac:dyDescent="0.25" r="292" customHeight="1" ht="18.75">
      <c r="A292" s="2" t="s">
        <v>612</v>
      </c>
      <c r="B292" s="7">
        <v>1</v>
      </c>
    </row>
    <row x14ac:dyDescent="0.25" r="293" customHeight="1" ht="18.75">
      <c r="A293" s="2" t="s">
        <v>613</v>
      </c>
      <c r="B293" s="7">
        <v>1</v>
      </c>
    </row>
    <row x14ac:dyDescent="0.25" r="294" customHeight="1" ht="18.75">
      <c r="A294" s="2" t="s">
        <v>614</v>
      </c>
      <c r="B294" s="7">
        <v>1</v>
      </c>
    </row>
    <row x14ac:dyDescent="0.25" r="295" customHeight="1" ht="18.75">
      <c r="A295" s="2" t="s">
        <v>615</v>
      </c>
      <c r="B295" s="7">
        <v>1</v>
      </c>
    </row>
    <row x14ac:dyDescent="0.25" r="296" customHeight="1" ht="18.75">
      <c r="A296" s="2" t="s">
        <v>616</v>
      </c>
      <c r="B296" s="7">
        <v>1</v>
      </c>
    </row>
    <row x14ac:dyDescent="0.25" r="297" customHeight="1" ht="18.75">
      <c r="A297" s="2" t="s">
        <v>617</v>
      </c>
      <c r="B297" s="7">
        <v>1</v>
      </c>
    </row>
    <row x14ac:dyDescent="0.25" r="298" customHeight="1" ht="18.75">
      <c r="A298" s="2" t="s">
        <v>618</v>
      </c>
      <c r="B298" s="7">
        <v>1</v>
      </c>
    </row>
    <row x14ac:dyDescent="0.25" r="299" customHeight="1" ht="18.75">
      <c r="A299" s="2" t="s">
        <v>619</v>
      </c>
      <c r="B299" s="7">
        <v>1</v>
      </c>
    </row>
    <row x14ac:dyDescent="0.25" r="300" customHeight="1" ht="18.75">
      <c r="A300" s="2" t="s">
        <v>620</v>
      </c>
      <c r="B300" s="7">
        <v>1</v>
      </c>
    </row>
    <row x14ac:dyDescent="0.25" r="301" customHeight="1" ht="18.75">
      <c r="A301" s="2" t="s">
        <v>621</v>
      </c>
      <c r="B301" s="7">
        <v>1</v>
      </c>
    </row>
    <row x14ac:dyDescent="0.25" r="302" customHeight="1" ht="18.75">
      <c r="A302" s="2" t="s">
        <v>622</v>
      </c>
      <c r="B302" s="7">
        <v>1</v>
      </c>
    </row>
    <row x14ac:dyDescent="0.25" r="303" customHeight="1" ht="18.75">
      <c r="A303" s="2" t="s">
        <v>623</v>
      </c>
      <c r="B303" s="7">
        <v>1</v>
      </c>
    </row>
    <row x14ac:dyDescent="0.25" r="304" customHeight="1" ht="18.75">
      <c r="A304" s="2" t="s">
        <v>624</v>
      </c>
      <c r="B304" s="7">
        <v>1</v>
      </c>
    </row>
    <row x14ac:dyDescent="0.25" r="305" customHeight="1" ht="18.75">
      <c r="A305" s="2" t="s">
        <v>625</v>
      </c>
      <c r="B305" s="7">
        <v>1</v>
      </c>
    </row>
    <row x14ac:dyDescent="0.25" r="306" customHeight="1" ht="18.75">
      <c r="A306" s="2" t="s">
        <v>626</v>
      </c>
      <c r="B306" s="7">
        <v>2</v>
      </c>
    </row>
    <row x14ac:dyDescent="0.25" r="307" customHeight="1" ht="18.75">
      <c r="A307" s="2" t="s">
        <v>627</v>
      </c>
      <c r="B307" s="7">
        <v>2</v>
      </c>
    </row>
    <row x14ac:dyDescent="0.25" r="308" customHeight="1" ht="18.75">
      <c r="A308" s="2" t="s">
        <v>628</v>
      </c>
      <c r="B308" s="7">
        <v>2</v>
      </c>
    </row>
    <row x14ac:dyDescent="0.25" r="309" customHeight="1" ht="18.75">
      <c r="A309" s="2" t="s">
        <v>629</v>
      </c>
      <c r="B309" s="7">
        <v>2</v>
      </c>
    </row>
    <row x14ac:dyDescent="0.25" r="310" customHeight="1" ht="18.75">
      <c r="A310" s="2" t="s">
        <v>630</v>
      </c>
      <c r="B310" s="7">
        <v>2</v>
      </c>
    </row>
    <row x14ac:dyDescent="0.25" r="311" customHeight="1" ht="18.75">
      <c r="A311" s="2" t="s">
        <v>631</v>
      </c>
      <c r="B311" s="7">
        <v>2</v>
      </c>
    </row>
    <row x14ac:dyDescent="0.25" r="312" customHeight="1" ht="18.75">
      <c r="A312" s="2" t="s">
        <v>632</v>
      </c>
      <c r="B312" s="7">
        <v>3</v>
      </c>
    </row>
    <row x14ac:dyDescent="0.25" r="313" customHeight="1" ht="18.75">
      <c r="A313" s="2" t="s">
        <v>633</v>
      </c>
      <c r="B313" s="7">
        <v>4</v>
      </c>
    </row>
    <row x14ac:dyDescent="0.25" r="314" customHeight="1" ht="18.75">
      <c r="A314" s="2" t="s">
        <v>634</v>
      </c>
      <c r="B314" s="7">
        <v>4</v>
      </c>
    </row>
    <row x14ac:dyDescent="0.25" r="315" customHeight="1" ht="18.75">
      <c r="A315" s="2" t="s">
        <v>635</v>
      </c>
      <c r="B315" s="7">
        <v>5</v>
      </c>
    </row>
    <row x14ac:dyDescent="0.25" r="316" customHeight="1" ht="18.75">
      <c r="A316" s="2" t="s">
        <v>636</v>
      </c>
      <c r="B316" s="7">
        <v>5</v>
      </c>
    </row>
    <row x14ac:dyDescent="0.25" r="317" customHeight="1" ht="18.75">
      <c r="A317" s="2" t="s">
        <v>637</v>
      </c>
      <c r="B317" s="7">
        <v>5</v>
      </c>
    </row>
    <row x14ac:dyDescent="0.25" r="318" customHeight="1" ht="18.75">
      <c r="A318" s="2" t="s">
        <v>638</v>
      </c>
      <c r="B318" s="7">
        <v>9</v>
      </c>
    </row>
    <row x14ac:dyDescent="0.25" r="319" customHeight="1" ht="18.75">
      <c r="A319" s="2" t="s">
        <v>639</v>
      </c>
      <c r="B319" s="7">
        <v>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779"/>
  <sheetViews>
    <sheetView workbookViewId="0"/>
  </sheetViews>
  <sheetFormatPr defaultRowHeight="15" x14ac:dyDescent="0.25"/>
  <cols>
    <col min="1" max="1" style="4" width="13.576428571428572" customWidth="1" bestFit="1"/>
    <col min="2" max="2" style="4" width="13.576428571428572" customWidth="1" bestFit="1"/>
  </cols>
  <sheetData>
    <row x14ac:dyDescent="0.25" r="1" customHeight="1" ht="18.75">
      <c r="A1" s="1" t="s">
        <v>0</v>
      </c>
      <c r="B1" s="1" t="s">
        <v>1</v>
      </c>
    </row>
    <row x14ac:dyDescent="0.25" r="2" customHeight="1" ht="18.75">
      <c r="A2" s="1" t="s">
        <v>2</v>
      </c>
      <c r="B2" s="1" t="s">
        <v>3</v>
      </c>
    </row>
    <row x14ac:dyDescent="0.25" r="3" customHeight="1" ht="18.75">
      <c r="A3" s="1" t="s">
        <v>4</v>
      </c>
      <c r="B3" s="1" t="s">
        <v>5</v>
      </c>
    </row>
    <row x14ac:dyDescent="0.25" r="4" customHeight="1" ht="18.75">
      <c r="A4" s="1" t="s">
        <v>6</v>
      </c>
      <c r="B4" s="2" t="s">
        <v>7</v>
      </c>
    </row>
    <row x14ac:dyDescent="0.25" r="5" customHeight="1" ht="18.75">
      <c r="A5" s="1" t="s">
        <v>8</v>
      </c>
      <c r="B5" s="2" t="s">
        <v>9</v>
      </c>
    </row>
    <row x14ac:dyDescent="0.25" r="6" customHeight="1" ht="18.75">
      <c r="A6" s="1" t="s">
        <v>8</v>
      </c>
      <c r="B6" s="2" t="s">
        <v>9</v>
      </c>
    </row>
    <row x14ac:dyDescent="0.25" r="7" customHeight="1" ht="18.75">
      <c r="A7" s="1" t="s">
        <v>8</v>
      </c>
      <c r="B7" s="2" t="s">
        <v>9</v>
      </c>
    </row>
    <row x14ac:dyDescent="0.25" r="8" customHeight="1" ht="18.75">
      <c r="A8" s="1" t="s">
        <v>10</v>
      </c>
      <c r="B8" s="2" t="s">
        <v>11</v>
      </c>
    </row>
    <row x14ac:dyDescent="0.25" r="9" customHeight="1" ht="18.75">
      <c r="A9" s="1" t="s">
        <v>12</v>
      </c>
      <c r="B9" s="2" t="s">
        <v>13</v>
      </c>
    </row>
    <row x14ac:dyDescent="0.25" r="10" customHeight="1" ht="18.75">
      <c r="A10" s="1" t="s">
        <v>14</v>
      </c>
      <c r="B10" s="2" t="s">
        <v>15</v>
      </c>
    </row>
    <row x14ac:dyDescent="0.25" r="11" customHeight="1" ht="18.75">
      <c r="A11" s="1" t="s">
        <v>16</v>
      </c>
      <c r="B11" s="2" t="s">
        <v>17</v>
      </c>
    </row>
    <row x14ac:dyDescent="0.25" r="12" customHeight="1" ht="18.75">
      <c r="A12" s="1" t="s">
        <v>18</v>
      </c>
      <c r="B12" s="2" t="s">
        <v>19</v>
      </c>
    </row>
    <row x14ac:dyDescent="0.25" r="13" customHeight="1" ht="18.75">
      <c r="A13" s="1" t="s">
        <v>20</v>
      </c>
      <c r="B13" s="2" t="s">
        <v>21</v>
      </c>
    </row>
    <row x14ac:dyDescent="0.25" r="14" customHeight="1" ht="18.75">
      <c r="A14" s="1" t="s">
        <v>22</v>
      </c>
      <c r="B14" s="2" t="s">
        <v>23</v>
      </c>
    </row>
    <row x14ac:dyDescent="0.25" r="15" customHeight="1" ht="18.75">
      <c r="A15" s="1" t="s">
        <v>24</v>
      </c>
      <c r="B15" s="2" t="s">
        <v>25</v>
      </c>
    </row>
    <row x14ac:dyDescent="0.25" r="16" customHeight="1" ht="18.75">
      <c r="A16" s="1" t="s">
        <v>26</v>
      </c>
      <c r="B16" s="2" t="s">
        <v>27</v>
      </c>
    </row>
    <row x14ac:dyDescent="0.25" r="17" customHeight="1" ht="18.75">
      <c r="A17" s="1" t="s">
        <v>28</v>
      </c>
      <c r="B17" s="2" t="s">
        <v>29</v>
      </c>
    </row>
    <row x14ac:dyDescent="0.25" r="18" customHeight="1" ht="18.75">
      <c r="A18" s="1" t="s">
        <v>30</v>
      </c>
      <c r="B18" s="1" t="s">
        <v>31</v>
      </c>
    </row>
    <row x14ac:dyDescent="0.25" r="19" customHeight="1" ht="18.75">
      <c r="A19" s="1" t="s">
        <v>32</v>
      </c>
      <c r="B19" s="2" t="s">
        <v>33</v>
      </c>
    </row>
    <row x14ac:dyDescent="0.25" r="20" customHeight="1" ht="18.75">
      <c r="A20" s="1" t="s">
        <v>34</v>
      </c>
      <c r="B20" s="2" t="s">
        <v>35</v>
      </c>
    </row>
    <row x14ac:dyDescent="0.25" r="21" customHeight="1" ht="18.75">
      <c r="A21" s="1" t="s">
        <v>36</v>
      </c>
      <c r="B21" s="1" t="s">
        <v>37</v>
      </c>
    </row>
    <row x14ac:dyDescent="0.25" r="22" customHeight="1" ht="18.75">
      <c r="A22" s="1" t="s">
        <v>38</v>
      </c>
      <c r="B22" s="2" t="s">
        <v>39</v>
      </c>
    </row>
    <row x14ac:dyDescent="0.25" r="23" customHeight="1" ht="18.75">
      <c r="A23" s="1" t="s">
        <v>40</v>
      </c>
      <c r="B23" s="2" t="s">
        <v>41</v>
      </c>
    </row>
    <row x14ac:dyDescent="0.25" r="24" customHeight="1" ht="18.75">
      <c r="A24" s="1" t="s">
        <v>42</v>
      </c>
      <c r="B24" s="2" t="s">
        <v>43</v>
      </c>
    </row>
    <row x14ac:dyDescent="0.25" r="25" customHeight="1" ht="18.75">
      <c r="A25" s="1" t="s">
        <v>44</v>
      </c>
      <c r="B25" s="2" t="s">
        <v>45</v>
      </c>
    </row>
    <row x14ac:dyDescent="0.25" r="26" customHeight="1" ht="18.75">
      <c r="A26" s="1" t="s">
        <v>44</v>
      </c>
      <c r="B26" s="2" t="s">
        <v>45</v>
      </c>
    </row>
    <row x14ac:dyDescent="0.25" r="27" customHeight="1" ht="18.75">
      <c r="A27" s="1" t="s">
        <v>44</v>
      </c>
      <c r="B27" s="2" t="s">
        <v>45</v>
      </c>
    </row>
    <row x14ac:dyDescent="0.25" r="28" customHeight="1" ht="18.75">
      <c r="A28" s="1" t="s">
        <v>46</v>
      </c>
      <c r="B28" s="2" t="s">
        <v>47</v>
      </c>
    </row>
    <row x14ac:dyDescent="0.25" r="29" customHeight="1" ht="18.75">
      <c r="A29" s="1" t="s">
        <v>48</v>
      </c>
      <c r="B29" s="2" t="s">
        <v>49</v>
      </c>
    </row>
    <row x14ac:dyDescent="0.25" r="30" customHeight="1" ht="18.75">
      <c r="A30" s="1" t="s">
        <v>50</v>
      </c>
      <c r="B30" s="2" t="s">
        <v>51</v>
      </c>
    </row>
    <row x14ac:dyDescent="0.25" r="31" customHeight="1" ht="18.75">
      <c r="A31" s="1" t="s">
        <v>52</v>
      </c>
      <c r="B31" s="2" t="s">
        <v>53</v>
      </c>
    </row>
    <row x14ac:dyDescent="0.25" r="32" customHeight="1" ht="18.75">
      <c r="A32" s="1" t="s">
        <v>54</v>
      </c>
      <c r="B32" s="2" t="s">
        <v>55</v>
      </c>
    </row>
    <row x14ac:dyDescent="0.25" r="33" customHeight="1" ht="18.75">
      <c r="A33" s="1" t="s">
        <v>56</v>
      </c>
      <c r="B33" s="2" t="s">
        <v>57</v>
      </c>
    </row>
    <row x14ac:dyDescent="0.25" r="34" customHeight="1" ht="18.75">
      <c r="A34" s="1" t="s">
        <v>58</v>
      </c>
      <c r="B34" s="2" t="s">
        <v>59</v>
      </c>
    </row>
    <row x14ac:dyDescent="0.25" r="35" customHeight="1" ht="18.75">
      <c r="A35" s="1" t="s">
        <v>60</v>
      </c>
      <c r="B35" s="2" t="s">
        <v>61</v>
      </c>
    </row>
    <row x14ac:dyDescent="0.25" r="36" customHeight="1" ht="18.75">
      <c r="A36" s="1" t="s">
        <v>62</v>
      </c>
      <c r="B36" s="2" t="s">
        <v>63</v>
      </c>
    </row>
    <row x14ac:dyDescent="0.25" r="37" customHeight="1" ht="18.75">
      <c r="A37" s="1" t="s">
        <v>64</v>
      </c>
      <c r="B37" s="2" t="s">
        <v>65</v>
      </c>
    </row>
    <row x14ac:dyDescent="0.25" r="38" customHeight="1" ht="18.75">
      <c r="A38" s="1" t="s">
        <v>66</v>
      </c>
      <c r="B38" s="2" t="s">
        <v>67</v>
      </c>
    </row>
    <row x14ac:dyDescent="0.25" r="39" customHeight="1" ht="18.75">
      <c r="A39" s="1" t="s">
        <v>68</v>
      </c>
      <c r="B39" s="2" t="s">
        <v>69</v>
      </c>
    </row>
    <row x14ac:dyDescent="0.25" r="40" customHeight="1" ht="18.75">
      <c r="A40" s="1" t="s">
        <v>70</v>
      </c>
      <c r="B40" s="2" t="s">
        <v>71</v>
      </c>
    </row>
    <row x14ac:dyDescent="0.25" r="41" customHeight="1" ht="18.75">
      <c r="A41" s="1" t="s">
        <v>72</v>
      </c>
      <c r="B41" s="1" t="s">
        <v>73</v>
      </c>
    </row>
    <row x14ac:dyDescent="0.25" r="42" customHeight="1" ht="18.75">
      <c r="A42" s="1" t="s">
        <v>74</v>
      </c>
      <c r="B42" s="2" t="s">
        <v>75</v>
      </c>
    </row>
    <row x14ac:dyDescent="0.25" r="43" customHeight="1" ht="18.75">
      <c r="A43" s="1" t="s">
        <v>76</v>
      </c>
      <c r="B43" s="2" t="s">
        <v>77</v>
      </c>
    </row>
    <row x14ac:dyDescent="0.25" r="44" customHeight="1" ht="18.75">
      <c r="A44" s="1" t="s">
        <v>78</v>
      </c>
      <c r="B44" s="1" t="s">
        <v>79</v>
      </c>
    </row>
    <row x14ac:dyDescent="0.25" r="45" customHeight="1" ht="18.75">
      <c r="A45" s="1" t="s">
        <v>80</v>
      </c>
      <c r="B45" s="2" t="s">
        <v>81</v>
      </c>
    </row>
    <row x14ac:dyDescent="0.25" r="46" customHeight="1" ht="18.75">
      <c r="A46" s="1" t="s">
        <v>82</v>
      </c>
      <c r="B46" s="2" t="s">
        <v>83</v>
      </c>
    </row>
    <row x14ac:dyDescent="0.25" r="47" customHeight="1" ht="18.75">
      <c r="A47" s="1" t="s">
        <v>84</v>
      </c>
      <c r="B47" s="2" t="s">
        <v>85</v>
      </c>
    </row>
    <row x14ac:dyDescent="0.25" r="48" customHeight="1" ht="18.75">
      <c r="A48" s="1" t="s">
        <v>86</v>
      </c>
      <c r="B48" s="2" t="s">
        <v>87</v>
      </c>
    </row>
    <row x14ac:dyDescent="0.25" r="49" customHeight="1" ht="18.75">
      <c r="A49" s="1" t="s">
        <v>88</v>
      </c>
      <c r="B49" s="2" t="s">
        <v>89</v>
      </c>
    </row>
    <row x14ac:dyDescent="0.25" r="50" customHeight="1" ht="18.75">
      <c r="A50" s="1" t="s">
        <v>90</v>
      </c>
      <c r="B50" s="2" t="s">
        <v>91</v>
      </c>
    </row>
    <row x14ac:dyDescent="0.25" r="51" customHeight="1" ht="18.75">
      <c r="A51" s="1" t="s">
        <v>92</v>
      </c>
      <c r="B51" s="2" t="s">
        <v>93</v>
      </c>
    </row>
    <row x14ac:dyDescent="0.25" r="52" customHeight="1" ht="18.75">
      <c r="A52" s="1" t="s">
        <v>94</v>
      </c>
      <c r="B52" s="2" t="s">
        <v>95</v>
      </c>
    </row>
    <row x14ac:dyDescent="0.25" r="53" customHeight="1" ht="18.75">
      <c r="A53" s="1" t="s">
        <v>96</v>
      </c>
      <c r="B53" s="2" t="s">
        <v>97</v>
      </c>
    </row>
    <row x14ac:dyDescent="0.25" r="54" customHeight="1" ht="18.75">
      <c r="A54" s="1" t="s">
        <v>98</v>
      </c>
      <c r="B54" s="2" t="s">
        <v>99</v>
      </c>
    </row>
    <row x14ac:dyDescent="0.25" r="55" customHeight="1" ht="18.75">
      <c r="A55" s="1" t="s">
        <v>100</v>
      </c>
      <c r="B55" s="2" t="s">
        <v>101</v>
      </c>
    </row>
    <row x14ac:dyDescent="0.25" r="56" customHeight="1" ht="18.75">
      <c r="A56" s="1" t="s">
        <v>102</v>
      </c>
      <c r="B56" s="2" t="s">
        <v>103</v>
      </c>
    </row>
    <row x14ac:dyDescent="0.25" r="57" customHeight="1" ht="18.75">
      <c r="A57" s="1" t="s">
        <v>104</v>
      </c>
      <c r="B57" s="2" t="s">
        <v>105</v>
      </c>
    </row>
    <row x14ac:dyDescent="0.25" r="58" customHeight="1" ht="18.75">
      <c r="A58" s="1" t="s">
        <v>106</v>
      </c>
      <c r="B58" s="1" t="s">
        <v>107</v>
      </c>
    </row>
    <row x14ac:dyDescent="0.25" r="59" customHeight="1" ht="18.75">
      <c r="A59" s="1" t="s">
        <v>108</v>
      </c>
      <c r="B59" s="1" t="s">
        <v>109</v>
      </c>
    </row>
    <row x14ac:dyDescent="0.25" r="60" customHeight="1" ht="18.75">
      <c r="A60" s="1" t="s">
        <v>110</v>
      </c>
      <c r="B60" s="2" t="s">
        <v>111</v>
      </c>
    </row>
    <row x14ac:dyDescent="0.25" r="61" customHeight="1" ht="18.75">
      <c r="A61" s="1" t="s">
        <v>112</v>
      </c>
      <c r="B61" s="2" t="s">
        <v>113</v>
      </c>
    </row>
    <row x14ac:dyDescent="0.25" r="62" customHeight="1" ht="18.75">
      <c r="A62" s="1" t="s">
        <v>114</v>
      </c>
      <c r="B62" s="2" t="s">
        <v>115</v>
      </c>
    </row>
    <row x14ac:dyDescent="0.25" r="63" customHeight="1" ht="18.75">
      <c r="A63" s="1" t="s">
        <v>116</v>
      </c>
      <c r="B63" s="1" t="s">
        <v>117</v>
      </c>
    </row>
    <row x14ac:dyDescent="0.25" r="64" customHeight="1" ht="18.75">
      <c r="A64" s="1" t="s">
        <v>118</v>
      </c>
      <c r="B64" s="2" t="s">
        <v>119</v>
      </c>
    </row>
    <row x14ac:dyDescent="0.25" r="65" customHeight="1" ht="18.75">
      <c r="A65" s="1" t="s">
        <v>120</v>
      </c>
      <c r="B65" s="1" t="s">
        <v>121</v>
      </c>
    </row>
    <row x14ac:dyDescent="0.25" r="66" customHeight="1" ht="18.75">
      <c r="A66" s="1" t="s">
        <v>122</v>
      </c>
      <c r="B66" s="1" t="s">
        <v>123</v>
      </c>
    </row>
    <row x14ac:dyDescent="0.25" r="67" customHeight="1" ht="18.75">
      <c r="A67" s="1" t="s">
        <v>124</v>
      </c>
      <c r="B67" s="2" t="s">
        <v>125</v>
      </c>
    </row>
    <row x14ac:dyDescent="0.25" r="68" customHeight="1" ht="18.75">
      <c r="A68" s="1" t="s">
        <v>126</v>
      </c>
      <c r="B68" s="2" t="s">
        <v>127</v>
      </c>
    </row>
    <row x14ac:dyDescent="0.25" r="69" customHeight="1" ht="18.75">
      <c r="A69" s="1" t="s">
        <v>128</v>
      </c>
      <c r="B69" s="2" t="s">
        <v>129</v>
      </c>
    </row>
    <row x14ac:dyDescent="0.25" r="70" customHeight="1" ht="18.75">
      <c r="A70" s="1" t="s">
        <v>130</v>
      </c>
      <c r="B70" s="2" t="s">
        <v>131</v>
      </c>
    </row>
    <row x14ac:dyDescent="0.25" r="71" customHeight="1" ht="18.75">
      <c r="A71" s="1" t="s">
        <v>132</v>
      </c>
      <c r="B71" s="2" t="s">
        <v>133</v>
      </c>
    </row>
    <row x14ac:dyDescent="0.25" r="72" customHeight="1" ht="18.75">
      <c r="A72" s="1" t="s">
        <v>134</v>
      </c>
      <c r="B72" s="2" t="s">
        <v>135</v>
      </c>
    </row>
    <row x14ac:dyDescent="0.25" r="73" customHeight="1" ht="18.75">
      <c r="A73" s="1" t="s">
        <v>136</v>
      </c>
      <c r="B73" s="2" t="s">
        <v>137</v>
      </c>
    </row>
    <row x14ac:dyDescent="0.25" r="74" customHeight="1" ht="18.75">
      <c r="A74" s="1" t="s">
        <v>138</v>
      </c>
      <c r="B74" s="2" t="s">
        <v>139</v>
      </c>
    </row>
    <row x14ac:dyDescent="0.25" r="75" customHeight="1" ht="18.75">
      <c r="A75" s="1" t="s">
        <v>140</v>
      </c>
      <c r="B75" s="2" t="s">
        <v>141</v>
      </c>
    </row>
    <row x14ac:dyDescent="0.25" r="76" customHeight="1" ht="18.75">
      <c r="A76" s="1" t="s">
        <v>142</v>
      </c>
      <c r="B76" s="2" t="s">
        <v>143</v>
      </c>
    </row>
    <row x14ac:dyDescent="0.25" r="77" customHeight="1" ht="18.75">
      <c r="A77" s="1" t="s">
        <v>144</v>
      </c>
      <c r="B77" s="2" t="s">
        <v>145</v>
      </c>
    </row>
    <row x14ac:dyDescent="0.25" r="78" customHeight="1" ht="18.75">
      <c r="A78" s="1" t="s">
        <v>146</v>
      </c>
      <c r="B78" s="2" t="s">
        <v>147</v>
      </c>
    </row>
    <row x14ac:dyDescent="0.25" r="79" customHeight="1" ht="18.75">
      <c r="A79" s="1" t="s">
        <v>148</v>
      </c>
      <c r="B79" s="2" t="s">
        <v>149</v>
      </c>
    </row>
    <row x14ac:dyDescent="0.25" r="80" customHeight="1" ht="18.75">
      <c r="A80" s="1" t="s">
        <v>150</v>
      </c>
      <c r="B80" s="2" t="s">
        <v>151</v>
      </c>
    </row>
    <row x14ac:dyDescent="0.25" r="81" customHeight="1" ht="18.75">
      <c r="A81" s="1" t="s">
        <v>152</v>
      </c>
      <c r="B81" s="2" t="s">
        <v>153</v>
      </c>
    </row>
    <row x14ac:dyDescent="0.25" r="82" customHeight="1" ht="18.75">
      <c r="A82" s="1" t="s">
        <v>154</v>
      </c>
      <c r="B82" s="2" t="s">
        <v>155</v>
      </c>
    </row>
    <row x14ac:dyDescent="0.25" r="83" customHeight="1" ht="18.75">
      <c r="A83" s="1" t="s">
        <v>156</v>
      </c>
      <c r="B83" s="2" t="s">
        <v>157</v>
      </c>
    </row>
    <row x14ac:dyDescent="0.25" r="84" customHeight="1" ht="18.75">
      <c r="A84" s="1" t="s">
        <v>158</v>
      </c>
      <c r="B84" s="2" t="s">
        <v>159</v>
      </c>
    </row>
    <row x14ac:dyDescent="0.25" r="85" customHeight="1" ht="18.75">
      <c r="A85" s="1" t="s">
        <v>160</v>
      </c>
      <c r="B85" s="2" t="s">
        <v>161</v>
      </c>
    </row>
    <row x14ac:dyDescent="0.25" r="86" customHeight="1" ht="18.75">
      <c r="A86" s="1" t="s">
        <v>162</v>
      </c>
      <c r="B86" s="1" t="s">
        <v>163</v>
      </c>
    </row>
    <row x14ac:dyDescent="0.25" r="87" customHeight="1" ht="18.75">
      <c r="A87" s="1" t="s">
        <v>164</v>
      </c>
      <c r="B87" s="1" t="s">
        <v>165</v>
      </c>
    </row>
    <row x14ac:dyDescent="0.25" r="88" customHeight="1" ht="18.75">
      <c r="A88" s="1" t="s">
        <v>166</v>
      </c>
      <c r="B88" s="2" t="s">
        <v>167</v>
      </c>
    </row>
    <row x14ac:dyDescent="0.25" r="89" customHeight="1" ht="18.75">
      <c r="A89" s="1" t="s">
        <v>168</v>
      </c>
      <c r="B89" s="2" t="s">
        <v>169</v>
      </c>
    </row>
    <row x14ac:dyDescent="0.25" r="90" customHeight="1" ht="18.75">
      <c r="A90" s="1" t="s">
        <v>170</v>
      </c>
      <c r="B90" s="2" t="s">
        <v>171</v>
      </c>
    </row>
    <row x14ac:dyDescent="0.25" r="91" customHeight="1" ht="18.75">
      <c r="A91" s="1" t="s">
        <v>172</v>
      </c>
      <c r="B91" s="2" t="s">
        <v>173</v>
      </c>
    </row>
    <row x14ac:dyDescent="0.25" r="92" customHeight="1" ht="18.75">
      <c r="A92" s="1" t="s">
        <v>174</v>
      </c>
      <c r="B92" s="2" t="s">
        <v>175</v>
      </c>
    </row>
    <row x14ac:dyDescent="0.25" r="93" customHeight="1" ht="18.75">
      <c r="A93" s="1" t="s">
        <v>176</v>
      </c>
      <c r="B93" s="2" t="s">
        <v>177</v>
      </c>
    </row>
    <row x14ac:dyDescent="0.25" r="94" customHeight="1" ht="18.75">
      <c r="A94" s="1" t="s">
        <v>178</v>
      </c>
      <c r="B94" s="2" t="s">
        <v>179</v>
      </c>
    </row>
    <row x14ac:dyDescent="0.25" r="95" customHeight="1" ht="18.75">
      <c r="A95" s="1" t="s">
        <v>180</v>
      </c>
      <c r="B95" s="2" t="s">
        <v>181</v>
      </c>
    </row>
    <row x14ac:dyDescent="0.25" r="96" customHeight="1" ht="18.75">
      <c r="A96" s="1" t="s">
        <v>182</v>
      </c>
      <c r="B96" s="2" t="s">
        <v>183</v>
      </c>
    </row>
    <row x14ac:dyDescent="0.25" r="97" customHeight="1" ht="18.75">
      <c r="A97" s="1" t="s">
        <v>184</v>
      </c>
      <c r="B97" s="2" t="s">
        <v>185</v>
      </c>
    </row>
    <row x14ac:dyDescent="0.25" r="98" customHeight="1" ht="18.75">
      <c r="A98" s="1" t="s">
        <v>186</v>
      </c>
      <c r="B98" s="2" t="s">
        <v>187</v>
      </c>
    </row>
    <row x14ac:dyDescent="0.25" r="99" customHeight="1" ht="18.75">
      <c r="A99" s="1" t="s">
        <v>188</v>
      </c>
      <c r="B99" s="2" t="s">
        <v>189</v>
      </c>
    </row>
    <row x14ac:dyDescent="0.25" r="100" customHeight="1" ht="18.75">
      <c r="A100" s="1" t="s">
        <v>190</v>
      </c>
      <c r="B100" s="2" t="s">
        <v>191</v>
      </c>
    </row>
    <row x14ac:dyDescent="0.25" r="101" customHeight="1" ht="18.75">
      <c r="A101" s="1" t="s">
        <v>192</v>
      </c>
      <c r="B101" s="2" t="s">
        <v>193</v>
      </c>
    </row>
    <row x14ac:dyDescent="0.25" r="102" customHeight="1" ht="18.75">
      <c r="A102" s="1" t="s">
        <v>194</v>
      </c>
      <c r="B102" s="2" t="s">
        <v>195</v>
      </c>
    </row>
    <row x14ac:dyDescent="0.25" r="103" customHeight="1" ht="18.75">
      <c r="A103" s="1" t="s">
        <v>196</v>
      </c>
      <c r="B103" s="2" t="s">
        <v>197</v>
      </c>
    </row>
    <row x14ac:dyDescent="0.25" r="104" customHeight="1" ht="18.75">
      <c r="A104" s="1" t="s">
        <v>198</v>
      </c>
      <c r="B104" s="2" t="s">
        <v>199</v>
      </c>
    </row>
    <row x14ac:dyDescent="0.25" r="105" customHeight="1" ht="18.75">
      <c r="A105" s="1" t="s">
        <v>200</v>
      </c>
      <c r="B105" s="2" t="s">
        <v>201</v>
      </c>
    </row>
    <row x14ac:dyDescent="0.25" r="106" customHeight="1" ht="18.75">
      <c r="A106" s="1" t="s">
        <v>202</v>
      </c>
      <c r="B106" s="2" t="s">
        <v>203</v>
      </c>
    </row>
    <row x14ac:dyDescent="0.25" r="107" customHeight="1" ht="18.75">
      <c r="A107" s="1" t="s">
        <v>204</v>
      </c>
      <c r="B107" s="2" t="s">
        <v>205</v>
      </c>
    </row>
    <row x14ac:dyDescent="0.25" r="108" customHeight="1" ht="18.75">
      <c r="A108" s="1" t="s">
        <v>206</v>
      </c>
      <c r="B108" s="2" t="s">
        <v>207</v>
      </c>
    </row>
    <row x14ac:dyDescent="0.25" r="109" customHeight="1" ht="18.75">
      <c r="A109" s="1" t="s">
        <v>208</v>
      </c>
      <c r="B109" s="2" t="s">
        <v>209</v>
      </c>
    </row>
    <row x14ac:dyDescent="0.25" r="110" customHeight="1" ht="18.75">
      <c r="A110" s="1" t="s">
        <v>210</v>
      </c>
      <c r="B110" s="2" t="s">
        <v>211</v>
      </c>
    </row>
    <row x14ac:dyDescent="0.25" r="111" customHeight="1" ht="18.75">
      <c r="A111" s="1" t="s">
        <v>212</v>
      </c>
      <c r="B111" s="2" t="s">
        <v>213</v>
      </c>
    </row>
    <row x14ac:dyDescent="0.25" r="112" customHeight="1" ht="18.75">
      <c r="A112" s="1" t="s">
        <v>214</v>
      </c>
      <c r="B112" s="2" t="s">
        <v>215</v>
      </c>
    </row>
    <row x14ac:dyDescent="0.25" r="113" customHeight="1" ht="18.75">
      <c r="A113" s="1" t="s">
        <v>216</v>
      </c>
      <c r="B113" s="2" t="s">
        <v>217</v>
      </c>
    </row>
    <row x14ac:dyDescent="0.25" r="114" customHeight="1" ht="18.75">
      <c r="A114" s="1" t="s">
        <v>218</v>
      </c>
      <c r="B114" s="2" t="s">
        <v>219</v>
      </c>
    </row>
    <row x14ac:dyDescent="0.25" r="115" customHeight="1" ht="18.75">
      <c r="A115" s="1" t="s">
        <v>220</v>
      </c>
      <c r="B115" s="2" t="s">
        <v>221</v>
      </c>
    </row>
    <row x14ac:dyDescent="0.25" r="116" customHeight="1" ht="18.75">
      <c r="A116" s="1" t="s">
        <v>222</v>
      </c>
      <c r="B116" s="2" t="s">
        <v>223</v>
      </c>
    </row>
    <row x14ac:dyDescent="0.25" r="117" customHeight="1" ht="18.75">
      <c r="A117" s="1" t="s">
        <v>224</v>
      </c>
      <c r="B117" s="2" t="s">
        <v>225</v>
      </c>
    </row>
    <row x14ac:dyDescent="0.25" r="118" customHeight="1" ht="18.75">
      <c r="A118" s="1" t="s">
        <v>226</v>
      </c>
      <c r="B118" s="2" t="s">
        <v>227</v>
      </c>
    </row>
    <row x14ac:dyDescent="0.25" r="119" customHeight="1" ht="18.75">
      <c r="A119" s="1" t="s">
        <v>228</v>
      </c>
      <c r="B119" s="2" t="s">
        <v>229</v>
      </c>
    </row>
    <row x14ac:dyDescent="0.25" r="120" customHeight="1" ht="18.75">
      <c r="A120" s="1" t="s">
        <v>230</v>
      </c>
      <c r="B120" s="2" t="s">
        <v>231</v>
      </c>
    </row>
    <row x14ac:dyDescent="0.25" r="121" customHeight="1" ht="18.75">
      <c r="A121" s="1" t="s">
        <v>232</v>
      </c>
      <c r="B121" s="2" t="s">
        <v>233</v>
      </c>
    </row>
    <row x14ac:dyDescent="0.25" r="122" customHeight="1" ht="18.75">
      <c r="A122" s="1" t="s">
        <v>234</v>
      </c>
      <c r="B122" s="2" t="s">
        <v>235</v>
      </c>
    </row>
    <row x14ac:dyDescent="0.25" r="123" customHeight="1" ht="18.75">
      <c r="A123" s="1" t="s">
        <v>236</v>
      </c>
      <c r="B123" s="2" t="s">
        <v>237</v>
      </c>
    </row>
    <row x14ac:dyDescent="0.25" r="124" customHeight="1" ht="18.75">
      <c r="A124" s="1" t="s">
        <v>238</v>
      </c>
      <c r="B124" s="2" t="s">
        <v>239</v>
      </c>
    </row>
    <row x14ac:dyDescent="0.25" r="125" customHeight="1" ht="18.75">
      <c r="A125" s="1" t="s">
        <v>240</v>
      </c>
      <c r="B125" s="2" t="s">
        <v>241</v>
      </c>
    </row>
    <row x14ac:dyDescent="0.25" r="126" customHeight="1" ht="18.75">
      <c r="A126" s="1" t="s">
        <v>242</v>
      </c>
      <c r="B126" s="2" t="s">
        <v>243</v>
      </c>
    </row>
    <row x14ac:dyDescent="0.25" r="127" customHeight="1" ht="18.75">
      <c r="A127" s="1" t="s">
        <v>244</v>
      </c>
      <c r="B127" s="2" t="s">
        <v>245</v>
      </c>
    </row>
    <row x14ac:dyDescent="0.25" r="128" customHeight="1" ht="18.75">
      <c r="A128" s="1" t="s">
        <v>246</v>
      </c>
      <c r="B128" s="2" t="s">
        <v>247</v>
      </c>
    </row>
    <row x14ac:dyDescent="0.25" r="129" customHeight="1" ht="18.75">
      <c r="A129" s="1" t="s">
        <v>248</v>
      </c>
      <c r="B129" s="2" t="s">
        <v>249</v>
      </c>
    </row>
    <row x14ac:dyDescent="0.25" r="130" customHeight="1" ht="18.75">
      <c r="A130" s="1" t="s">
        <v>250</v>
      </c>
      <c r="B130" s="1" t="s">
        <v>251</v>
      </c>
    </row>
    <row x14ac:dyDescent="0.25" r="131" customHeight="1" ht="18.75">
      <c r="A131" s="1" t="s">
        <v>252</v>
      </c>
      <c r="B131" s="2" t="s">
        <v>253</v>
      </c>
    </row>
    <row x14ac:dyDescent="0.25" r="132" customHeight="1" ht="18.75">
      <c r="A132" s="1" t="s">
        <v>254</v>
      </c>
      <c r="B132" s="2" t="s">
        <v>255</v>
      </c>
    </row>
    <row x14ac:dyDescent="0.25" r="133" customHeight="1" ht="18.75">
      <c r="A133" s="1" t="s">
        <v>256</v>
      </c>
      <c r="B133" s="1" t="s">
        <v>257</v>
      </c>
    </row>
    <row x14ac:dyDescent="0.25" r="134" customHeight="1" ht="18.75">
      <c r="A134" s="1" t="s">
        <v>258</v>
      </c>
      <c r="B134" s="1" t="s">
        <v>259</v>
      </c>
    </row>
    <row x14ac:dyDescent="0.25" r="135" customHeight="1" ht="18.75">
      <c r="A135" s="1" t="s">
        <v>260</v>
      </c>
      <c r="B135" s="1" t="s">
        <v>261</v>
      </c>
    </row>
    <row x14ac:dyDescent="0.25" r="136" customHeight="1" ht="18.75">
      <c r="A136" s="1" t="s">
        <v>262</v>
      </c>
      <c r="B136" s="1" t="s">
        <v>263</v>
      </c>
    </row>
    <row x14ac:dyDescent="0.25" r="137" customHeight="1" ht="18.75">
      <c r="A137" s="1" t="s">
        <v>264</v>
      </c>
      <c r="B137" s="2" t="s">
        <v>265</v>
      </c>
    </row>
    <row x14ac:dyDescent="0.25" r="138" customHeight="1" ht="18.75">
      <c r="A138" s="1" t="s">
        <v>266</v>
      </c>
      <c r="B138" s="2" t="s">
        <v>267</v>
      </c>
    </row>
    <row x14ac:dyDescent="0.25" r="139" customHeight="1" ht="18.75">
      <c r="A139" s="1" t="s">
        <v>268</v>
      </c>
      <c r="B139" s="2" t="s">
        <v>269</v>
      </c>
    </row>
    <row x14ac:dyDescent="0.25" r="140" customHeight="1" ht="18.75">
      <c r="A140" s="1" t="s">
        <v>270</v>
      </c>
      <c r="B140" s="2" t="s">
        <v>271</v>
      </c>
    </row>
    <row x14ac:dyDescent="0.25" r="141" customHeight="1" ht="18.75">
      <c r="A141" s="1" t="s">
        <v>272</v>
      </c>
      <c r="B141" s="2" t="s">
        <v>273</v>
      </c>
    </row>
    <row x14ac:dyDescent="0.25" r="142" customHeight="1" ht="18.75">
      <c r="A142" s="1" t="s">
        <v>274</v>
      </c>
      <c r="B142" s="2" t="s">
        <v>275</v>
      </c>
    </row>
    <row x14ac:dyDescent="0.25" r="143" customHeight="1" ht="18.75">
      <c r="A143" s="1" t="s">
        <v>276</v>
      </c>
      <c r="B143" s="1" t="s">
        <v>277</v>
      </c>
    </row>
    <row x14ac:dyDescent="0.25" r="144" customHeight="1" ht="18.75">
      <c r="A144" s="1" t="s">
        <v>278</v>
      </c>
      <c r="B144" s="2" t="s">
        <v>279</v>
      </c>
    </row>
    <row x14ac:dyDescent="0.25" r="145" customHeight="1" ht="18.75">
      <c r="A145" s="1" t="s">
        <v>280</v>
      </c>
      <c r="B145" s="1" t="s">
        <v>281</v>
      </c>
    </row>
    <row x14ac:dyDescent="0.25" r="146" customHeight="1" ht="18.75">
      <c r="A146" s="1" t="s">
        <v>282</v>
      </c>
      <c r="B146" s="2" t="s">
        <v>283</v>
      </c>
    </row>
    <row x14ac:dyDescent="0.25" r="147" customHeight="1" ht="18.75">
      <c r="A147" s="1" t="s">
        <v>284</v>
      </c>
      <c r="B147" s="2" t="s">
        <v>285</v>
      </c>
    </row>
    <row x14ac:dyDescent="0.25" r="148" customHeight="1" ht="18.75">
      <c r="A148" s="1" t="s">
        <v>286</v>
      </c>
      <c r="B148" s="1" t="s">
        <v>287</v>
      </c>
    </row>
    <row x14ac:dyDescent="0.25" r="149" customHeight="1" ht="18.75">
      <c r="A149" s="1" t="s">
        <v>288</v>
      </c>
      <c r="B149" s="2" t="s">
        <v>289</v>
      </c>
    </row>
    <row x14ac:dyDescent="0.25" r="150" customHeight="1" ht="18.75">
      <c r="A150" s="1" t="s">
        <v>290</v>
      </c>
      <c r="B150" s="2" t="s">
        <v>291</v>
      </c>
    </row>
    <row x14ac:dyDescent="0.25" r="151" customHeight="1" ht="18.75">
      <c r="A151" s="1" t="s">
        <v>292</v>
      </c>
      <c r="B151" s="2" t="s">
        <v>293</v>
      </c>
    </row>
    <row x14ac:dyDescent="0.25" r="152" customHeight="1" ht="18.75">
      <c r="A152" s="1" t="s">
        <v>294</v>
      </c>
      <c r="B152" s="2" t="s">
        <v>295</v>
      </c>
    </row>
    <row x14ac:dyDescent="0.25" r="153" customHeight="1" ht="18.75">
      <c r="A153" s="1" t="s">
        <v>296</v>
      </c>
      <c r="B153" s="1" t="s">
        <v>297</v>
      </c>
    </row>
    <row x14ac:dyDescent="0.25" r="154" customHeight="1" ht="18.75">
      <c r="A154" s="1" t="s">
        <v>298</v>
      </c>
      <c r="B154" s="1" t="s">
        <v>299</v>
      </c>
    </row>
    <row x14ac:dyDescent="0.25" r="155" customHeight="1" ht="18.75">
      <c r="A155" s="1" t="s">
        <v>300</v>
      </c>
      <c r="B155" s="1" t="s">
        <v>301</v>
      </c>
    </row>
    <row x14ac:dyDescent="0.25" r="156" customHeight="1" ht="18.75">
      <c r="A156" s="1" t="s">
        <v>302</v>
      </c>
      <c r="B156" s="2" t="s">
        <v>303</v>
      </c>
    </row>
    <row x14ac:dyDescent="0.25" r="157" customHeight="1" ht="18.75">
      <c r="A157" s="1" t="s">
        <v>304</v>
      </c>
      <c r="B157" s="2" t="s">
        <v>305</v>
      </c>
    </row>
    <row x14ac:dyDescent="0.25" r="158" customHeight="1" ht="18.75">
      <c r="A158" s="1" t="s">
        <v>306</v>
      </c>
      <c r="B158" s="2" t="s">
        <v>307</v>
      </c>
    </row>
    <row x14ac:dyDescent="0.25" r="159" customHeight="1" ht="18.75">
      <c r="A159" s="1" t="s">
        <v>308</v>
      </c>
      <c r="B159" s="2" t="s">
        <v>309</v>
      </c>
    </row>
    <row x14ac:dyDescent="0.25" r="160" customHeight="1" ht="18.75">
      <c r="A160" s="1" t="s">
        <v>310</v>
      </c>
      <c r="B160" s="2" t="s">
        <v>311</v>
      </c>
    </row>
    <row x14ac:dyDescent="0.25" r="161" customHeight="1" ht="18.75">
      <c r="A161" s="1" t="s">
        <v>312</v>
      </c>
      <c r="B161" s="2" t="s">
        <v>313</v>
      </c>
    </row>
    <row x14ac:dyDescent="0.25" r="162" customHeight="1" ht="18.75">
      <c r="A162" s="1" t="s">
        <v>314</v>
      </c>
      <c r="B162" s="1" t="s">
        <v>315</v>
      </c>
    </row>
    <row x14ac:dyDescent="0.25" r="163" customHeight="1" ht="18.75">
      <c r="A163" s="1" t="s">
        <v>316</v>
      </c>
      <c r="B163" s="2" t="s">
        <v>317</v>
      </c>
    </row>
    <row x14ac:dyDescent="0.25" r="164" customHeight="1" ht="18.75">
      <c r="A164" s="1" t="s">
        <v>318</v>
      </c>
      <c r="B164" s="1" t="s">
        <v>319</v>
      </c>
    </row>
    <row x14ac:dyDescent="0.25" r="165" customHeight="1" ht="18.75">
      <c r="A165" s="1"/>
      <c r="B165" s="1"/>
    </row>
    <row x14ac:dyDescent="0.25" r="166" customHeight="1" ht="18.75">
      <c r="A166" s="1"/>
      <c r="B166" s="1"/>
    </row>
    <row x14ac:dyDescent="0.25" r="167" customHeight="1" ht="18.75">
      <c r="A167" s="1"/>
      <c r="B167" s="1"/>
    </row>
    <row x14ac:dyDescent="0.25" r="168" customHeight="1" ht="18.75">
      <c r="A168" s="1"/>
      <c r="B168" s="3"/>
    </row>
    <row x14ac:dyDescent="0.25" r="169" customHeight="1" ht="18.75">
      <c r="A169" s="1"/>
      <c r="B169" s="3"/>
    </row>
    <row x14ac:dyDescent="0.25" r="170" customHeight="1" ht="18.75">
      <c r="A170" s="1"/>
      <c r="B170" s="1"/>
    </row>
    <row x14ac:dyDescent="0.25" r="171" customHeight="1" ht="18.75">
      <c r="A171" s="1"/>
      <c r="B171" s="1"/>
    </row>
    <row x14ac:dyDescent="0.25" r="172" customHeight="1" ht="18.75">
      <c r="A172" s="1"/>
      <c r="B172" s="3"/>
    </row>
    <row x14ac:dyDescent="0.25" r="173" customHeight="1" ht="18.75">
      <c r="A173" s="1"/>
      <c r="B173" s="3"/>
    </row>
    <row x14ac:dyDescent="0.25" r="174" customHeight="1" ht="18.75">
      <c r="A174" s="1"/>
      <c r="B174" s="3"/>
    </row>
    <row x14ac:dyDescent="0.25" r="175" customHeight="1" ht="18.75">
      <c r="A175" s="1"/>
      <c r="B175" s="3"/>
    </row>
    <row x14ac:dyDescent="0.25" r="176" customHeight="1" ht="18.75">
      <c r="A176" s="1"/>
      <c r="B176" s="3"/>
    </row>
    <row x14ac:dyDescent="0.25" r="177" customHeight="1" ht="18.75">
      <c r="A177" s="1"/>
      <c r="B177" s="3"/>
    </row>
    <row x14ac:dyDescent="0.25" r="178" customHeight="1" ht="18.75">
      <c r="A178" s="1"/>
      <c r="B178" s="3"/>
    </row>
    <row x14ac:dyDescent="0.25" r="179" customHeight="1" ht="18.75">
      <c r="A179" s="1"/>
      <c r="B179" s="3"/>
    </row>
    <row x14ac:dyDescent="0.25" r="180" customHeight="1" ht="18.75">
      <c r="A180" s="1"/>
      <c r="B180" s="3"/>
    </row>
    <row x14ac:dyDescent="0.25" r="181" customHeight="1" ht="18.75">
      <c r="A181" s="1"/>
      <c r="B181" s="3"/>
    </row>
    <row x14ac:dyDescent="0.25" r="182" customHeight="1" ht="18.75">
      <c r="A182" s="1"/>
      <c r="B182" s="3"/>
    </row>
    <row x14ac:dyDescent="0.25" r="183" customHeight="1" ht="18.75">
      <c r="A183" s="1"/>
      <c r="B183" s="3"/>
    </row>
    <row x14ac:dyDescent="0.25" r="184" customHeight="1" ht="18.75">
      <c r="A184" s="1"/>
      <c r="B184" s="3"/>
    </row>
    <row x14ac:dyDescent="0.25" r="185" customHeight="1" ht="18.75">
      <c r="A185" s="1"/>
      <c r="B185" s="3"/>
    </row>
    <row x14ac:dyDescent="0.25" r="186" customHeight="1" ht="18.75">
      <c r="A186" s="1"/>
      <c r="B186" s="1"/>
    </row>
    <row x14ac:dyDescent="0.25" r="187" customHeight="1" ht="18.75">
      <c r="A187" s="1"/>
      <c r="B187" s="3"/>
    </row>
    <row x14ac:dyDescent="0.25" r="188" customHeight="1" ht="18.75">
      <c r="A188" s="1"/>
      <c r="B188" s="3"/>
    </row>
    <row x14ac:dyDescent="0.25" r="189" customHeight="1" ht="18.75">
      <c r="A189" s="1"/>
      <c r="B189" s="3"/>
    </row>
    <row x14ac:dyDescent="0.25" r="190" customHeight="1" ht="18.75">
      <c r="A190" s="1"/>
      <c r="B190" s="3"/>
    </row>
    <row x14ac:dyDescent="0.25" r="191" customHeight="1" ht="18.75">
      <c r="A191" s="1"/>
      <c r="B191" s="3"/>
    </row>
    <row x14ac:dyDescent="0.25" r="192" customHeight="1" ht="18.75">
      <c r="A192" s="1"/>
      <c r="B192" s="3"/>
    </row>
    <row x14ac:dyDescent="0.25" r="193" customHeight="1" ht="18.75">
      <c r="A193" s="1"/>
      <c r="B193" s="3"/>
    </row>
    <row x14ac:dyDescent="0.25" r="194" customHeight="1" ht="18.75">
      <c r="A194" s="1"/>
      <c r="B194" s="3"/>
    </row>
    <row x14ac:dyDescent="0.25" r="195" customHeight="1" ht="18.75">
      <c r="A195" s="1"/>
      <c r="B195" s="3"/>
    </row>
    <row x14ac:dyDescent="0.25" r="196" customHeight="1" ht="18.75">
      <c r="A196" s="1"/>
      <c r="B196" s="3"/>
    </row>
    <row x14ac:dyDescent="0.25" r="197" customHeight="1" ht="18.75">
      <c r="A197" s="1"/>
      <c r="B197" s="3"/>
    </row>
    <row x14ac:dyDescent="0.25" r="198" customHeight="1" ht="18.75">
      <c r="A198" s="1"/>
      <c r="B198" s="3"/>
    </row>
    <row x14ac:dyDescent="0.25" r="199" customHeight="1" ht="18.75">
      <c r="A199" s="1"/>
      <c r="B199" s="3"/>
    </row>
    <row x14ac:dyDescent="0.25" r="200" customHeight="1" ht="18.75">
      <c r="A200" s="1"/>
      <c r="B200" s="3"/>
    </row>
    <row x14ac:dyDescent="0.25" r="201" customHeight="1" ht="18.75">
      <c r="A201" s="1"/>
      <c r="B201" s="1"/>
    </row>
    <row x14ac:dyDescent="0.25" r="202" customHeight="1" ht="18.75">
      <c r="A202" s="1"/>
      <c r="B202" s="3"/>
    </row>
    <row x14ac:dyDescent="0.25" r="203" customHeight="1" ht="18.75">
      <c r="A203" s="1"/>
      <c r="B203" s="3"/>
    </row>
    <row x14ac:dyDescent="0.25" r="204" customHeight="1" ht="18.75">
      <c r="A204" s="1"/>
      <c r="B204" s="3"/>
    </row>
    <row x14ac:dyDescent="0.25" r="205" customHeight="1" ht="18.75">
      <c r="A205" s="1"/>
      <c r="B205" s="3"/>
    </row>
    <row x14ac:dyDescent="0.25" r="206" customHeight="1" ht="18.75">
      <c r="A206" s="1"/>
      <c r="B206" s="3"/>
    </row>
    <row x14ac:dyDescent="0.25" r="207" customHeight="1" ht="18.75">
      <c r="A207" s="1"/>
      <c r="B207" s="3"/>
    </row>
    <row x14ac:dyDescent="0.25" r="208" customHeight="1" ht="18.75">
      <c r="A208" s="1"/>
      <c r="B208" s="3"/>
    </row>
    <row x14ac:dyDescent="0.25" r="209" customHeight="1" ht="18.75">
      <c r="A209" s="1"/>
      <c r="B209" s="1"/>
    </row>
    <row x14ac:dyDescent="0.25" r="210" customHeight="1" ht="18.75">
      <c r="A210" s="1"/>
      <c r="B210" s="3"/>
    </row>
    <row x14ac:dyDescent="0.25" r="211" customHeight="1" ht="18.75">
      <c r="A211" s="1"/>
      <c r="B211" s="3"/>
    </row>
    <row x14ac:dyDescent="0.25" r="212" customHeight="1" ht="18.75">
      <c r="A212" s="1"/>
      <c r="B212" s="3"/>
    </row>
    <row x14ac:dyDescent="0.25" r="213" customHeight="1" ht="18.75">
      <c r="A213" s="1"/>
      <c r="B213" s="3"/>
    </row>
    <row x14ac:dyDescent="0.25" r="214" customHeight="1" ht="18.75">
      <c r="A214" s="1"/>
      <c r="B214" s="3"/>
    </row>
    <row x14ac:dyDescent="0.25" r="215" customHeight="1" ht="18.75">
      <c r="A215" s="1"/>
      <c r="B215" s="3"/>
    </row>
    <row x14ac:dyDescent="0.25" r="216" customHeight="1" ht="18.75">
      <c r="A216" s="1"/>
      <c r="B216" s="3"/>
    </row>
    <row x14ac:dyDescent="0.25" r="217" customHeight="1" ht="18.75">
      <c r="A217" s="1"/>
      <c r="B217" s="3"/>
    </row>
    <row x14ac:dyDescent="0.25" r="218" customHeight="1" ht="18.75">
      <c r="A218" s="1"/>
      <c r="B218" s="3"/>
    </row>
    <row x14ac:dyDescent="0.25" r="219" customHeight="1" ht="18.75">
      <c r="A219" s="1"/>
      <c r="B219" s="3"/>
    </row>
    <row x14ac:dyDescent="0.25" r="220" customHeight="1" ht="18.75">
      <c r="A220" s="1"/>
      <c r="B220" s="3"/>
    </row>
    <row x14ac:dyDescent="0.25" r="221" customHeight="1" ht="18.75">
      <c r="A221" s="1"/>
      <c r="B221" s="3"/>
    </row>
    <row x14ac:dyDescent="0.25" r="222" customHeight="1" ht="18.75">
      <c r="A222" s="1"/>
      <c r="B222" s="3"/>
    </row>
    <row x14ac:dyDescent="0.25" r="223" customHeight="1" ht="18.75">
      <c r="A223" s="1"/>
      <c r="B223" s="3"/>
    </row>
    <row x14ac:dyDescent="0.25" r="224" customHeight="1" ht="18.75">
      <c r="A224" s="1"/>
      <c r="B224" s="3"/>
    </row>
    <row x14ac:dyDescent="0.25" r="225" customHeight="1" ht="18.75">
      <c r="A225" s="1"/>
      <c r="B225" s="3"/>
    </row>
    <row x14ac:dyDescent="0.25" r="226" customHeight="1" ht="18.75">
      <c r="A226" s="1"/>
      <c r="B226" s="3"/>
    </row>
    <row x14ac:dyDescent="0.25" r="227" customHeight="1" ht="18.75">
      <c r="A227" s="1"/>
      <c r="B227" s="3"/>
    </row>
    <row x14ac:dyDescent="0.25" r="228" customHeight="1" ht="18.75">
      <c r="A228" s="1"/>
      <c r="B228" s="3"/>
    </row>
    <row x14ac:dyDescent="0.25" r="229" customHeight="1" ht="18.75">
      <c r="A229" s="1"/>
      <c r="B229" s="3"/>
    </row>
    <row x14ac:dyDescent="0.25" r="230" customHeight="1" ht="18.75">
      <c r="A230" s="1"/>
      <c r="B230" s="3"/>
    </row>
    <row x14ac:dyDescent="0.25" r="231" customHeight="1" ht="18.75">
      <c r="A231" s="1"/>
      <c r="B231" s="3"/>
    </row>
    <row x14ac:dyDescent="0.25" r="232" customHeight="1" ht="18.75">
      <c r="A232" s="1"/>
      <c r="B232" s="3"/>
    </row>
    <row x14ac:dyDescent="0.25" r="233" customHeight="1" ht="18.75">
      <c r="A233" s="1"/>
      <c r="B233" s="3"/>
    </row>
    <row x14ac:dyDescent="0.25" r="234" customHeight="1" ht="18.75">
      <c r="A234" s="1"/>
      <c r="B234" s="3"/>
    </row>
    <row x14ac:dyDescent="0.25" r="235" customHeight="1" ht="18.75">
      <c r="A235" s="1"/>
      <c r="B235" s="3"/>
    </row>
    <row x14ac:dyDescent="0.25" r="236" customHeight="1" ht="18.75">
      <c r="A236" s="1"/>
      <c r="B236" s="3"/>
    </row>
    <row x14ac:dyDescent="0.25" r="237" customHeight="1" ht="18.75">
      <c r="A237" s="1"/>
      <c r="B237" s="3"/>
    </row>
    <row x14ac:dyDescent="0.25" r="238" customHeight="1" ht="18.75">
      <c r="A238" s="1"/>
      <c r="B238" s="3"/>
    </row>
    <row x14ac:dyDescent="0.25" r="239" customHeight="1" ht="18.75">
      <c r="A239" s="1"/>
      <c r="B239" s="3"/>
    </row>
    <row x14ac:dyDescent="0.25" r="240" customHeight="1" ht="18.75">
      <c r="A240" s="1"/>
      <c r="B240" s="3"/>
    </row>
    <row x14ac:dyDescent="0.25" r="241" customHeight="1" ht="18.75">
      <c r="A241" s="1"/>
      <c r="B241" s="3"/>
    </row>
    <row x14ac:dyDescent="0.25" r="242" customHeight="1" ht="18.75">
      <c r="A242" s="1"/>
      <c r="B242" s="3"/>
    </row>
    <row x14ac:dyDescent="0.25" r="243" customHeight="1" ht="18.75">
      <c r="A243" s="1"/>
      <c r="B243" s="3"/>
    </row>
    <row x14ac:dyDescent="0.25" r="244" customHeight="1" ht="18.75">
      <c r="A244" s="1"/>
      <c r="B244" s="3"/>
    </row>
    <row x14ac:dyDescent="0.25" r="245" customHeight="1" ht="18.75">
      <c r="A245" s="1"/>
      <c r="B245" s="3"/>
    </row>
    <row x14ac:dyDescent="0.25" r="246" customHeight="1" ht="18.75">
      <c r="A246" s="1"/>
      <c r="B246" s="3"/>
    </row>
    <row x14ac:dyDescent="0.25" r="247" customHeight="1" ht="18.75">
      <c r="A247" s="1"/>
      <c r="B247" s="3"/>
    </row>
    <row x14ac:dyDescent="0.25" r="248" customHeight="1" ht="18.75">
      <c r="A248" s="1"/>
      <c r="B248" s="3"/>
    </row>
    <row x14ac:dyDescent="0.25" r="249" customHeight="1" ht="18.75">
      <c r="A249" s="1"/>
      <c r="B249" s="3"/>
    </row>
    <row x14ac:dyDescent="0.25" r="250" customHeight="1" ht="18.75">
      <c r="A250" s="1"/>
      <c r="B250" s="3"/>
    </row>
    <row x14ac:dyDescent="0.25" r="251" customHeight="1" ht="18.75">
      <c r="A251" s="1"/>
      <c r="B251" s="3"/>
    </row>
    <row x14ac:dyDescent="0.25" r="252" customHeight="1" ht="18.75">
      <c r="A252" s="1"/>
      <c r="B252" s="3"/>
    </row>
    <row x14ac:dyDescent="0.25" r="253" customHeight="1" ht="18.75">
      <c r="A253" s="1"/>
      <c r="B253" s="3"/>
    </row>
    <row x14ac:dyDescent="0.25" r="254" customHeight="1" ht="18.75">
      <c r="A254" s="1"/>
      <c r="B254" s="3"/>
    </row>
    <row x14ac:dyDescent="0.25" r="255" customHeight="1" ht="18.75">
      <c r="A255" s="1"/>
      <c r="B255" s="3"/>
    </row>
    <row x14ac:dyDescent="0.25" r="256" customHeight="1" ht="18.75">
      <c r="A256" s="1"/>
      <c r="B256" s="1"/>
    </row>
    <row x14ac:dyDescent="0.25" r="257" customHeight="1" ht="18.75">
      <c r="A257" s="1"/>
      <c r="B257" s="3"/>
    </row>
    <row x14ac:dyDescent="0.25" r="258" customHeight="1" ht="18.75">
      <c r="A258" s="1"/>
      <c r="B258" s="3"/>
    </row>
    <row x14ac:dyDescent="0.25" r="259" customHeight="1" ht="18.75">
      <c r="A259" s="1"/>
      <c r="B259" s="3"/>
    </row>
    <row x14ac:dyDescent="0.25" r="260" customHeight="1" ht="18.75">
      <c r="A260" s="1"/>
      <c r="B260" s="3"/>
    </row>
    <row x14ac:dyDescent="0.25" r="261" customHeight="1" ht="18.75">
      <c r="A261" s="1"/>
      <c r="B261" s="1"/>
    </row>
    <row x14ac:dyDescent="0.25" r="262" customHeight="1" ht="18.75">
      <c r="A262" s="1"/>
      <c r="B262" s="1"/>
    </row>
    <row x14ac:dyDescent="0.25" r="263" customHeight="1" ht="18.75">
      <c r="A263" s="1"/>
      <c r="B263" s="1"/>
    </row>
    <row x14ac:dyDescent="0.25" r="264" customHeight="1" ht="18.75">
      <c r="A264" s="1"/>
      <c r="B264" s="1"/>
    </row>
    <row x14ac:dyDescent="0.25" r="265" customHeight="1" ht="18.75">
      <c r="A265" s="1"/>
      <c r="B265" s="3"/>
    </row>
    <row x14ac:dyDescent="0.25" r="266" customHeight="1" ht="18.75">
      <c r="A266" s="1"/>
      <c r="B266" s="3"/>
    </row>
    <row x14ac:dyDescent="0.25" r="267" customHeight="1" ht="18.75">
      <c r="A267" s="1"/>
      <c r="B267" s="3"/>
    </row>
    <row x14ac:dyDescent="0.25" r="268" customHeight="1" ht="18.75">
      <c r="A268" s="1"/>
      <c r="B268" s="3"/>
    </row>
    <row x14ac:dyDescent="0.25" r="269" customHeight="1" ht="18.75">
      <c r="A269" s="1"/>
      <c r="B269" s="1"/>
    </row>
    <row x14ac:dyDescent="0.25" r="270" customHeight="1" ht="18.75">
      <c r="A270" s="1"/>
      <c r="B270" s="1"/>
    </row>
    <row x14ac:dyDescent="0.25" r="271" customHeight="1" ht="18.75">
      <c r="A271" s="1"/>
      <c r="B271" s="3"/>
    </row>
    <row x14ac:dyDescent="0.25" r="272" customHeight="1" ht="18.75">
      <c r="A272" s="1"/>
      <c r="B272" s="3"/>
    </row>
    <row x14ac:dyDescent="0.25" r="273" customHeight="1" ht="18.75">
      <c r="A273" s="1"/>
      <c r="B273" s="1"/>
    </row>
    <row x14ac:dyDescent="0.25" r="274" customHeight="1" ht="18.75">
      <c r="A274" s="1"/>
      <c r="B274" s="3"/>
    </row>
    <row x14ac:dyDescent="0.25" r="275" customHeight="1" ht="18.75">
      <c r="A275" s="1"/>
      <c r="B275" s="1"/>
    </row>
    <row x14ac:dyDescent="0.25" r="276" customHeight="1" ht="18.75">
      <c r="A276" s="1"/>
      <c r="B276" s="3"/>
    </row>
    <row x14ac:dyDescent="0.25" r="277" customHeight="1" ht="18.75">
      <c r="A277" s="1"/>
      <c r="B277" s="3"/>
    </row>
    <row x14ac:dyDescent="0.25" r="278" customHeight="1" ht="18.75">
      <c r="A278" s="1"/>
      <c r="B278" s="1"/>
    </row>
    <row x14ac:dyDescent="0.25" r="279" customHeight="1" ht="18.75">
      <c r="A279" s="1"/>
      <c r="B279" s="3"/>
    </row>
    <row x14ac:dyDescent="0.25" r="280" customHeight="1" ht="18.75">
      <c r="A280" s="1"/>
      <c r="B280" s="3"/>
    </row>
    <row x14ac:dyDescent="0.25" r="281" customHeight="1" ht="18.75">
      <c r="A281" s="1"/>
      <c r="B281" s="3"/>
    </row>
    <row x14ac:dyDescent="0.25" r="282" customHeight="1" ht="18.75">
      <c r="A282" s="1"/>
      <c r="B282" s="3"/>
    </row>
    <row x14ac:dyDescent="0.25" r="283" customHeight="1" ht="18.75">
      <c r="A283" s="1"/>
      <c r="B283" s="1"/>
    </row>
    <row x14ac:dyDescent="0.25" r="284" customHeight="1" ht="18.75">
      <c r="A284" s="1"/>
      <c r="B284" s="3"/>
    </row>
    <row x14ac:dyDescent="0.25" r="285" customHeight="1" ht="18.75">
      <c r="A285" s="1"/>
      <c r="B285" s="1"/>
    </row>
    <row x14ac:dyDescent="0.25" r="286" customHeight="1" ht="18.75">
      <c r="A286" s="1"/>
      <c r="B286" s="1"/>
    </row>
    <row x14ac:dyDescent="0.25" r="287" customHeight="1" ht="18.75">
      <c r="A287" s="1"/>
      <c r="B287" s="1"/>
    </row>
    <row x14ac:dyDescent="0.25" r="288" customHeight="1" ht="18.75">
      <c r="A288" s="1"/>
      <c r="B288" s="3"/>
    </row>
    <row x14ac:dyDescent="0.25" r="289" customHeight="1" ht="18.75">
      <c r="A289" s="1"/>
      <c r="B289" s="3"/>
    </row>
    <row x14ac:dyDescent="0.25" r="290" customHeight="1" ht="18.75">
      <c r="A290" s="1"/>
      <c r="B290" s="3"/>
    </row>
    <row x14ac:dyDescent="0.25" r="291" customHeight="1" ht="18.75">
      <c r="A291" s="1"/>
      <c r="B291" s="3"/>
    </row>
    <row x14ac:dyDescent="0.25" r="292" customHeight="1" ht="18.75">
      <c r="A292" s="1"/>
      <c r="B292" s="1"/>
    </row>
    <row x14ac:dyDescent="0.25" r="293" customHeight="1" ht="18.75">
      <c r="A293" s="1"/>
      <c r="B293" s="3"/>
    </row>
    <row x14ac:dyDescent="0.25" r="294" customHeight="1" ht="18.75">
      <c r="A294" s="1"/>
      <c r="B294" s="1"/>
    </row>
    <row x14ac:dyDescent="0.25" r="295" customHeight="1" ht="18.75">
      <c r="A295" s="1"/>
      <c r="B295" s="1"/>
    </row>
    <row x14ac:dyDescent="0.25" r="296" customHeight="1" ht="18.75">
      <c r="A296" s="1"/>
      <c r="B296" s="1"/>
    </row>
    <row x14ac:dyDescent="0.25" r="297" customHeight="1" ht="18.75">
      <c r="A297" s="1"/>
      <c r="B297" s="3"/>
    </row>
    <row x14ac:dyDescent="0.25" r="298" customHeight="1" ht="18.75">
      <c r="A298" s="1"/>
      <c r="B298" s="3"/>
    </row>
    <row x14ac:dyDescent="0.25" r="299" customHeight="1" ht="18.75">
      <c r="A299" s="1"/>
      <c r="B299" s="3"/>
    </row>
    <row x14ac:dyDescent="0.25" r="300" customHeight="1" ht="18.75">
      <c r="A300" s="1"/>
      <c r="B300" s="3"/>
    </row>
    <row x14ac:dyDescent="0.25" r="301" customHeight="1" ht="18.75">
      <c r="A301" s="1"/>
      <c r="B301" s="3"/>
    </row>
    <row x14ac:dyDescent="0.25" r="302" customHeight="1" ht="18.75">
      <c r="A302" s="1"/>
      <c r="B302" s="3"/>
    </row>
    <row x14ac:dyDescent="0.25" r="303" customHeight="1" ht="18.75">
      <c r="A303" s="1"/>
      <c r="B303" s="3"/>
    </row>
    <row x14ac:dyDescent="0.25" r="304" customHeight="1" ht="18.75">
      <c r="A304" s="1"/>
      <c r="B304" s="3"/>
    </row>
    <row x14ac:dyDescent="0.25" r="305" customHeight="1" ht="18.75">
      <c r="A305" s="1"/>
      <c r="B305" s="3"/>
    </row>
    <row x14ac:dyDescent="0.25" r="306" customHeight="1" ht="18.75">
      <c r="A306" s="1"/>
      <c r="B306" s="1"/>
    </row>
    <row x14ac:dyDescent="0.25" r="307" customHeight="1" ht="18.75">
      <c r="A307" s="1"/>
      <c r="B307" s="1"/>
    </row>
    <row x14ac:dyDescent="0.25" r="308" customHeight="1" ht="18.75">
      <c r="A308" s="1"/>
      <c r="B308" s="1"/>
    </row>
    <row x14ac:dyDescent="0.25" r="309" customHeight="1" ht="18.75">
      <c r="A309" s="1"/>
      <c r="B309" s="1"/>
    </row>
    <row x14ac:dyDescent="0.25" r="310" customHeight="1" ht="18.75">
      <c r="A310" s="1"/>
      <c r="B310" s="3"/>
    </row>
    <row x14ac:dyDescent="0.25" r="311" customHeight="1" ht="18.75">
      <c r="A311" s="1"/>
      <c r="B311" s="3"/>
    </row>
    <row x14ac:dyDescent="0.25" r="312" customHeight="1" ht="18.75">
      <c r="A312" s="1"/>
      <c r="B312" s="3"/>
    </row>
    <row x14ac:dyDescent="0.25" r="313" customHeight="1" ht="18.75">
      <c r="A313" s="1"/>
      <c r="B313" s="3"/>
    </row>
    <row x14ac:dyDescent="0.25" r="314" customHeight="1" ht="18.75">
      <c r="A314" s="1"/>
      <c r="B314" s="3"/>
    </row>
    <row x14ac:dyDescent="0.25" r="315" customHeight="1" ht="18.75">
      <c r="A315" s="1"/>
      <c r="B315" s="3"/>
    </row>
    <row x14ac:dyDescent="0.25" r="316" customHeight="1" ht="18.75">
      <c r="A316" s="1"/>
      <c r="B316" s="3"/>
    </row>
    <row x14ac:dyDescent="0.25" r="317" customHeight="1" ht="18.75">
      <c r="A317" s="1"/>
      <c r="B317" s="3"/>
    </row>
    <row x14ac:dyDescent="0.25" r="318" customHeight="1" ht="18.75">
      <c r="A318" s="1"/>
      <c r="B318" s="3"/>
    </row>
    <row x14ac:dyDescent="0.25" r="319" customHeight="1" ht="18.75">
      <c r="A319" s="1"/>
      <c r="B319" s="3"/>
    </row>
    <row x14ac:dyDescent="0.25" r="320" customHeight="1" ht="18.75">
      <c r="A320" s="1"/>
      <c r="B320" s="3"/>
    </row>
    <row x14ac:dyDescent="0.25" r="321" customHeight="1" ht="18.75">
      <c r="A321" s="1"/>
      <c r="B321" s="3"/>
    </row>
    <row x14ac:dyDescent="0.25" r="322" customHeight="1" ht="18.75">
      <c r="A322" s="1"/>
      <c r="B322" s="3"/>
    </row>
    <row x14ac:dyDescent="0.25" r="323" customHeight="1" ht="18.75">
      <c r="A323" s="1"/>
      <c r="B323" s="3"/>
    </row>
    <row x14ac:dyDescent="0.25" r="324" customHeight="1" ht="18.75">
      <c r="A324" s="1"/>
      <c r="B324" s="3"/>
    </row>
    <row x14ac:dyDescent="0.25" r="325" customHeight="1" ht="18.75">
      <c r="A325" s="1"/>
      <c r="B325" s="3"/>
    </row>
    <row x14ac:dyDescent="0.25" r="326" customHeight="1" ht="18.75">
      <c r="A326" s="1"/>
      <c r="B326" s="3"/>
    </row>
    <row x14ac:dyDescent="0.25" r="327" customHeight="1" ht="18.75">
      <c r="A327" s="1"/>
      <c r="B327" s="3"/>
    </row>
    <row x14ac:dyDescent="0.25" r="328" customHeight="1" ht="18.75">
      <c r="A328" s="1"/>
      <c r="B328" s="3"/>
    </row>
    <row x14ac:dyDescent="0.25" r="329" customHeight="1" ht="18.75">
      <c r="A329" s="1"/>
      <c r="B329" s="3"/>
    </row>
    <row x14ac:dyDescent="0.25" r="330" customHeight="1" ht="18.75">
      <c r="A330" s="1"/>
      <c r="B330" s="3"/>
    </row>
    <row x14ac:dyDescent="0.25" r="331" customHeight="1" ht="18.75">
      <c r="A331" s="1"/>
      <c r="B331" s="1"/>
    </row>
    <row x14ac:dyDescent="0.25" r="332" customHeight="1" ht="18.75">
      <c r="A332" s="1"/>
      <c r="B332" s="1"/>
    </row>
    <row x14ac:dyDescent="0.25" r="333" customHeight="1" ht="18.75">
      <c r="A333" s="1"/>
      <c r="B333" s="3"/>
    </row>
    <row x14ac:dyDescent="0.25" r="334" customHeight="1" ht="18.75">
      <c r="A334" s="1"/>
      <c r="B334" s="3"/>
    </row>
    <row x14ac:dyDescent="0.25" r="335" customHeight="1" ht="18.75">
      <c r="A335" s="1"/>
      <c r="B335" s="1"/>
    </row>
    <row x14ac:dyDescent="0.25" r="336" customHeight="1" ht="18.75">
      <c r="A336" s="1"/>
      <c r="B336" s="3"/>
    </row>
    <row x14ac:dyDescent="0.25" r="337" customHeight="1" ht="18.75">
      <c r="A337" s="1"/>
      <c r="B337" s="3"/>
    </row>
    <row x14ac:dyDescent="0.25" r="338" customHeight="1" ht="18.75">
      <c r="A338" s="1"/>
      <c r="B338" s="1"/>
    </row>
    <row x14ac:dyDescent="0.25" r="339" customHeight="1" ht="18.75">
      <c r="A339" s="1"/>
      <c r="B339" s="3"/>
    </row>
    <row x14ac:dyDescent="0.25" r="340" customHeight="1" ht="18.75">
      <c r="A340" s="1"/>
      <c r="B340" s="3"/>
    </row>
    <row x14ac:dyDescent="0.25" r="341" customHeight="1" ht="18.75">
      <c r="A341" s="1"/>
      <c r="B341" s="3"/>
    </row>
    <row x14ac:dyDescent="0.25" r="342" customHeight="1" ht="18.75">
      <c r="A342" s="1"/>
      <c r="B342" s="1"/>
    </row>
    <row x14ac:dyDescent="0.25" r="343" customHeight="1" ht="18.75">
      <c r="A343" s="1"/>
      <c r="B343" s="1"/>
    </row>
    <row x14ac:dyDescent="0.25" r="344" customHeight="1" ht="18.75">
      <c r="A344" s="1"/>
      <c r="B344" s="1"/>
    </row>
    <row x14ac:dyDescent="0.25" r="345" customHeight="1" ht="18.75">
      <c r="A345" s="1"/>
      <c r="B345" s="1"/>
    </row>
    <row x14ac:dyDescent="0.25" r="346" customHeight="1" ht="18.75">
      <c r="A346" s="1"/>
      <c r="B346" s="3"/>
    </row>
    <row x14ac:dyDescent="0.25" r="347" customHeight="1" ht="18.75">
      <c r="A347" s="1"/>
      <c r="B347" s="3"/>
    </row>
    <row x14ac:dyDescent="0.25" r="348" customHeight="1" ht="18.75">
      <c r="A348" s="1"/>
      <c r="B348" s="3"/>
    </row>
    <row x14ac:dyDescent="0.25" r="349" customHeight="1" ht="18.75">
      <c r="A349" s="1"/>
      <c r="B349" s="3"/>
    </row>
    <row x14ac:dyDescent="0.25" r="350" customHeight="1" ht="18.75">
      <c r="A350" s="1"/>
      <c r="B350" s="3"/>
    </row>
    <row x14ac:dyDescent="0.25" r="351" customHeight="1" ht="18.75">
      <c r="A351" s="1"/>
      <c r="B351" s="3"/>
    </row>
    <row x14ac:dyDescent="0.25" r="352" customHeight="1" ht="18.75">
      <c r="A352" s="1"/>
      <c r="B352" s="1"/>
    </row>
    <row x14ac:dyDescent="0.25" r="353" customHeight="1" ht="18.75">
      <c r="A353" s="1"/>
      <c r="B353" s="3"/>
    </row>
    <row x14ac:dyDescent="0.25" r="354" customHeight="1" ht="18.75">
      <c r="A354" s="1"/>
      <c r="B354" s="3"/>
    </row>
    <row x14ac:dyDescent="0.25" r="355" customHeight="1" ht="18.75">
      <c r="A355" s="1"/>
      <c r="B355" s="3"/>
    </row>
    <row x14ac:dyDescent="0.25" r="356" customHeight="1" ht="18.75">
      <c r="A356" s="1"/>
      <c r="B356" s="3"/>
    </row>
    <row x14ac:dyDescent="0.25" r="357" customHeight="1" ht="18.75">
      <c r="A357" s="1"/>
      <c r="B357" s="3"/>
    </row>
    <row x14ac:dyDescent="0.25" r="358" customHeight="1" ht="18.75">
      <c r="A358" s="1"/>
      <c r="B358" s="1"/>
    </row>
    <row x14ac:dyDescent="0.25" r="359" customHeight="1" ht="18.75">
      <c r="A359" s="1"/>
      <c r="B359" s="3"/>
    </row>
    <row x14ac:dyDescent="0.25" r="360" customHeight="1" ht="18.75">
      <c r="A360" s="1"/>
      <c r="B360" s="3"/>
    </row>
    <row x14ac:dyDescent="0.25" r="361" customHeight="1" ht="18.75">
      <c r="A361" s="1"/>
      <c r="B361" s="3"/>
    </row>
    <row x14ac:dyDescent="0.25" r="362" customHeight="1" ht="18.75">
      <c r="A362" s="1"/>
      <c r="B362" s="1"/>
    </row>
    <row x14ac:dyDescent="0.25" r="363" customHeight="1" ht="18.75">
      <c r="A363" s="1"/>
      <c r="B363" s="1"/>
    </row>
    <row x14ac:dyDescent="0.25" r="364" customHeight="1" ht="18.75">
      <c r="A364" s="1"/>
      <c r="B364" s="1"/>
    </row>
    <row x14ac:dyDescent="0.25" r="365" customHeight="1" ht="18.75">
      <c r="A365" s="1"/>
      <c r="B365" s="3"/>
    </row>
    <row x14ac:dyDescent="0.25" r="366" customHeight="1" ht="18.75">
      <c r="A366" s="1"/>
      <c r="B366" s="1"/>
    </row>
    <row x14ac:dyDescent="0.25" r="367" customHeight="1" ht="18.75">
      <c r="A367" s="1"/>
      <c r="B367" s="3"/>
    </row>
    <row x14ac:dyDescent="0.25" r="368" customHeight="1" ht="18.75">
      <c r="A368" s="1"/>
      <c r="B368" s="3"/>
    </row>
    <row x14ac:dyDescent="0.25" r="369" customHeight="1" ht="18.75">
      <c r="A369" s="1"/>
      <c r="B369" s="1"/>
    </row>
    <row x14ac:dyDescent="0.25" r="370" customHeight="1" ht="18.75">
      <c r="A370" s="1"/>
      <c r="B370" s="3"/>
    </row>
    <row x14ac:dyDescent="0.25" r="371" customHeight="1" ht="18.75">
      <c r="A371" s="1"/>
      <c r="B371" s="3"/>
    </row>
    <row x14ac:dyDescent="0.25" r="372" customHeight="1" ht="18.75">
      <c r="A372" s="1"/>
      <c r="B372" s="3"/>
    </row>
    <row x14ac:dyDescent="0.25" r="373" customHeight="1" ht="18.75">
      <c r="A373" s="1"/>
      <c r="B373" s="3"/>
    </row>
    <row x14ac:dyDescent="0.25" r="374" customHeight="1" ht="18.75">
      <c r="A374" s="1"/>
      <c r="B374" s="3"/>
    </row>
    <row x14ac:dyDescent="0.25" r="375" customHeight="1" ht="18.75">
      <c r="A375" s="1"/>
      <c r="B375" s="1"/>
    </row>
    <row x14ac:dyDescent="0.25" r="376" customHeight="1" ht="18.75">
      <c r="A376" s="1"/>
      <c r="B376" s="1"/>
    </row>
    <row x14ac:dyDescent="0.25" r="377" customHeight="1" ht="18.75">
      <c r="A377" s="1"/>
      <c r="B377" s="1"/>
    </row>
    <row x14ac:dyDescent="0.25" r="378" customHeight="1" ht="18.75">
      <c r="A378" s="1"/>
      <c r="B378" s="1"/>
    </row>
    <row x14ac:dyDescent="0.25" r="379" customHeight="1" ht="18.75">
      <c r="A379" s="1"/>
      <c r="B379" s="3"/>
    </row>
    <row x14ac:dyDescent="0.25" r="380" customHeight="1" ht="18.75">
      <c r="A380" s="1"/>
      <c r="B380" s="3"/>
    </row>
    <row x14ac:dyDescent="0.25" r="381" customHeight="1" ht="18.75">
      <c r="A381" s="1"/>
      <c r="B381" s="1"/>
    </row>
    <row x14ac:dyDescent="0.25" r="382" customHeight="1" ht="18.75">
      <c r="A382" s="1"/>
      <c r="B382" s="3"/>
    </row>
    <row x14ac:dyDescent="0.25" r="383" customHeight="1" ht="18.75">
      <c r="A383" s="1"/>
      <c r="B383" s="1"/>
    </row>
    <row x14ac:dyDescent="0.25" r="384" customHeight="1" ht="18.75">
      <c r="A384" s="1"/>
      <c r="B384" s="3"/>
    </row>
    <row x14ac:dyDescent="0.25" r="385" customHeight="1" ht="18.75">
      <c r="A385" s="1"/>
      <c r="B385" s="3"/>
    </row>
    <row x14ac:dyDescent="0.25" r="386" customHeight="1" ht="18.75">
      <c r="A386" s="1"/>
      <c r="B386" s="3"/>
    </row>
    <row x14ac:dyDescent="0.25" r="387" customHeight="1" ht="18.75">
      <c r="A387" s="1"/>
      <c r="B387" s="3"/>
    </row>
    <row x14ac:dyDescent="0.25" r="388" customHeight="1" ht="18.75">
      <c r="A388" s="1"/>
      <c r="B388" s="3"/>
    </row>
    <row x14ac:dyDescent="0.25" r="389" customHeight="1" ht="18.75">
      <c r="A389" s="1"/>
      <c r="B389" s="1"/>
    </row>
    <row x14ac:dyDescent="0.25" r="390" customHeight="1" ht="18.75">
      <c r="A390" s="1"/>
      <c r="B390" s="3"/>
    </row>
    <row x14ac:dyDescent="0.25" r="391" customHeight="1" ht="18.75">
      <c r="A391" s="1"/>
      <c r="B391" s="1"/>
    </row>
    <row x14ac:dyDescent="0.25" r="392" customHeight="1" ht="18.75">
      <c r="A392" s="1"/>
      <c r="B392" s="3"/>
    </row>
    <row x14ac:dyDescent="0.25" r="393" customHeight="1" ht="18.75">
      <c r="A393" s="1"/>
      <c r="B393" s="3"/>
    </row>
    <row x14ac:dyDescent="0.25" r="394" customHeight="1" ht="18.75">
      <c r="A394" s="1"/>
      <c r="B394" s="3"/>
    </row>
    <row x14ac:dyDescent="0.25" r="395" customHeight="1" ht="18.75">
      <c r="A395" s="1"/>
      <c r="B395" s="3"/>
    </row>
    <row x14ac:dyDescent="0.25" r="396" customHeight="1" ht="18.75">
      <c r="A396" s="1"/>
      <c r="B396" s="3"/>
    </row>
    <row x14ac:dyDescent="0.25" r="397" customHeight="1" ht="18.75">
      <c r="A397" s="1"/>
      <c r="B397" s="3"/>
    </row>
    <row x14ac:dyDescent="0.25" r="398" customHeight="1" ht="18.75">
      <c r="A398" s="1"/>
      <c r="B398" s="3"/>
    </row>
    <row x14ac:dyDescent="0.25" r="399" customHeight="1" ht="18.75">
      <c r="A399" s="1"/>
      <c r="B399" s="3"/>
    </row>
    <row x14ac:dyDescent="0.25" r="400" customHeight="1" ht="18.75">
      <c r="A400" s="1"/>
      <c r="B400" s="3"/>
    </row>
    <row x14ac:dyDescent="0.25" r="401" customHeight="1" ht="18.75">
      <c r="A401" s="1"/>
      <c r="B401" s="3"/>
    </row>
    <row x14ac:dyDescent="0.25" r="402" customHeight="1" ht="18.75">
      <c r="A402" s="1"/>
      <c r="B402" s="3"/>
    </row>
    <row x14ac:dyDescent="0.25" r="403" customHeight="1" ht="18.75">
      <c r="A403" s="1"/>
      <c r="B403" s="3"/>
    </row>
    <row x14ac:dyDescent="0.25" r="404" customHeight="1" ht="18.75">
      <c r="A404" s="1"/>
      <c r="B404" s="3"/>
    </row>
    <row x14ac:dyDescent="0.25" r="405" customHeight="1" ht="18.75">
      <c r="A405" s="1"/>
      <c r="B405" s="3"/>
    </row>
    <row x14ac:dyDescent="0.25" r="406" customHeight="1" ht="18.75">
      <c r="A406" s="1"/>
      <c r="B406" s="3"/>
    </row>
    <row x14ac:dyDescent="0.25" r="407" customHeight="1" ht="18.75">
      <c r="A407" s="1"/>
      <c r="B407" s="3"/>
    </row>
    <row x14ac:dyDescent="0.25" r="408" customHeight="1" ht="18.75">
      <c r="A408" s="1"/>
      <c r="B408" s="3"/>
    </row>
    <row x14ac:dyDescent="0.25" r="409" customHeight="1" ht="18.75">
      <c r="A409" s="1"/>
      <c r="B409" s="3"/>
    </row>
    <row x14ac:dyDescent="0.25" r="410" customHeight="1" ht="18.75">
      <c r="A410" s="1"/>
      <c r="B410" s="3"/>
    </row>
    <row x14ac:dyDescent="0.25" r="411" customHeight="1" ht="18.75">
      <c r="A411" s="1"/>
      <c r="B411" s="3"/>
    </row>
    <row x14ac:dyDescent="0.25" r="412" customHeight="1" ht="18.75">
      <c r="A412" s="1"/>
      <c r="B412" s="3"/>
    </row>
    <row x14ac:dyDescent="0.25" r="413" customHeight="1" ht="18.75">
      <c r="A413" s="1"/>
      <c r="B413" s="3"/>
    </row>
    <row x14ac:dyDescent="0.25" r="414" customHeight="1" ht="18.75">
      <c r="A414" s="1"/>
      <c r="B414" s="3"/>
    </row>
    <row x14ac:dyDescent="0.25" r="415" customHeight="1" ht="18.75">
      <c r="A415" s="1"/>
      <c r="B415" s="3"/>
    </row>
    <row x14ac:dyDescent="0.25" r="416" customHeight="1" ht="18.75">
      <c r="A416" s="1"/>
      <c r="B416" s="3"/>
    </row>
    <row x14ac:dyDescent="0.25" r="417" customHeight="1" ht="18.75">
      <c r="A417" s="1"/>
      <c r="B417" s="3"/>
    </row>
    <row x14ac:dyDescent="0.25" r="418" customHeight="1" ht="18.75">
      <c r="A418" s="1"/>
      <c r="B418" s="3"/>
    </row>
    <row x14ac:dyDescent="0.25" r="419" customHeight="1" ht="18.75">
      <c r="A419" s="1"/>
      <c r="B419" s="3"/>
    </row>
    <row x14ac:dyDescent="0.25" r="420" customHeight="1" ht="18.75">
      <c r="A420" s="1"/>
      <c r="B420" s="3"/>
    </row>
    <row x14ac:dyDescent="0.25" r="421" customHeight="1" ht="18.75">
      <c r="A421" s="1"/>
      <c r="B421" s="3"/>
    </row>
    <row x14ac:dyDescent="0.25" r="422" customHeight="1" ht="18.75">
      <c r="A422" s="1"/>
      <c r="B422" s="3"/>
    </row>
    <row x14ac:dyDescent="0.25" r="423" customHeight="1" ht="18.75">
      <c r="A423" s="1"/>
      <c r="B423" s="3"/>
    </row>
    <row x14ac:dyDescent="0.25" r="424" customHeight="1" ht="18.75">
      <c r="A424" s="1"/>
      <c r="B424" s="3"/>
    </row>
    <row x14ac:dyDescent="0.25" r="425" customHeight="1" ht="18.75">
      <c r="A425" s="1"/>
      <c r="B425" s="3"/>
    </row>
    <row x14ac:dyDescent="0.25" r="426" customHeight="1" ht="18.75">
      <c r="A426" s="1"/>
      <c r="B426" s="3"/>
    </row>
    <row x14ac:dyDescent="0.25" r="427" customHeight="1" ht="18.75">
      <c r="A427" s="1"/>
      <c r="B427" s="3"/>
    </row>
    <row x14ac:dyDescent="0.25" r="428" customHeight="1" ht="18.75">
      <c r="A428" s="1"/>
      <c r="B428" s="3"/>
    </row>
    <row x14ac:dyDescent="0.25" r="429" customHeight="1" ht="18.75">
      <c r="A429" s="1"/>
      <c r="B429" s="3"/>
    </row>
    <row x14ac:dyDescent="0.25" r="430" customHeight="1" ht="18.75">
      <c r="A430" s="1"/>
      <c r="B430" s="3"/>
    </row>
    <row x14ac:dyDescent="0.25" r="431" customHeight="1" ht="18.75">
      <c r="A431" s="1"/>
      <c r="B431" s="3"/>
    </row>
    <row x14ac:dyDescent="0.25" r="432" customHeight="1" ht="18.75">
      <c r="A432" s="1"/>
      <c r="B432" s="3"/>
    </row>
    <row x14ac:dyDescent="0.25" r="433" customHeight="1" ht="18.75">
      <c r="A433" s="1"/>
      <c r="B433" s="3"/>
    </row>
    <row x14ac:dyDescent="0.25" r="434" customHeight="1" ht="18.75">
      <c r="A434" s="1"/>
      <c r="B434" s="3"/>
    </row>
    <row x14ac:dyDescent="0.25" r="435" customHeight="1" ht="18.75">
      <c r="A435" s="1"/>
      <c r="B435" s="3"/>
    </row>
    <row x14ac:dyDescent="0.25" r="436" customHeight="1" ht="18.75">
      <c r="A436" s="1"/>
      <c r="B436" s="1"/>
    </row>
    <row x14ac:dyDescent="0.25" r="437" customHeight="1" ht="18.75">
      <c r="A437" s="1"/>
      <c r="B437" s="3"/>
    </row>
    <row x14ac:dyDescent="0.25" r="438" customHeight="1" ht="18.75">
      <c r="A438" s="1"/>
      <c r="B438" s="1"/>
    </row>
    <row x14ac:dyDescent="0.25" r="439" customHeight="1" ht="18.75">
      <c r="A439" s="1"/>
      <c r="B439" s="1"/>
    </row>
    <row x14ac:dyDescent="0.25" r="440" customHeight="1" ht="18.75">
      <c r="A440" s="1"/>
      <c r="B440" s="1"/>
    </row>
    <row x14ac:dyDescent="0.25" r="441" customHeight="1" ht="18.75">
      <c r="A441" s="1"/>
      <c r="B441" s="1"/>
    </row>
    <row x14ac:dyDescent="0.25" r="442" customHeight="1" ht="18.75">
      <c r="A442" s="1"/>
      <c r="B442" s="1"/>
    </row>
    <row x14ac:dyDescent="0.25" r="443" customHeight="1" ht="18.75">
      <c r="A443" s="1"/>
      <c r="B443" s="1"/>
    </row>
    <row x14ac:dyDescent="0.25" r="444" customHeight="1" ht="18.75">
      <c r="A444" s="1"/>
      <c r="B444" s="1"/>
    </row>
    <row x14ac:dyDescent="0.25" r="445" customHeight="1" ht="18.75">
      <c r="A445" s="1"/>
      <c r="B445" s="1"/>
    </row>
    <row x14ac:dyDescent="0.25" r="446" customHeight="1" ht="18.75">
      <c r="A446" s="1"/>
      <c r="B446" s="1"/>
    </row>
    <row x14ac:dyDescent="0.25" r="447" customHeight="1" ht="18.75">
      <c r="A447" s="1"/>
      <c r="B447" s="1"/>
    </row>
    <row x14ac:dyDescent="0.25" r="448" customHeight="1" ht="18.75">
      <c r="A448" s="1"/>
      <c r="B448" s="1"/>
    </row>
    <row x14ac:dyDescent="0.25" r="449" customHeight="1" ht="18.75">
      <c r="A449" s="1"/>
      <c r="B449" s="3"/>
    </row>
    <row x14ac:dyDescent="0.25" r="450" customHeight="1" ht="18.75">
      <c r="A450" s="1"/>
      <c r="B450" s="3"/>
    </row>
    <row x14ac:dyDescent="0.25" r="451" customHeight="1" ht="18.75">
      <c r="A451" s="1"/>
      <c r="B451" s="1"/>
    </row>
    <row x14ac:dyDescent="0.25" r="452" customHeight="1" ht="18.75">
      <c r="A452" s="1"/>
      <c r="B452" s="3"/>
    </row>
    <row x14ac:dyDescent="0.25" r="453" customHeight="1" ht="18.75">
      <c r="A453" s="1"/>
      <c r="B453" s="1"/>
    </row>
    <row x14ac:dyDescent="0.25" r="454" customHeight="1" ht="18.75">
      <c r="A454" s="1"/>
      <c r="B454" s="1"/>
    </row>
    <row x14ac:dyDescent="0.25" r="455" customHeight="1" ht="18.75">
      <c r="A455" s="1"/>
      <c r="B455" s="1"/>
    </row>
    <row x14ac:dyDescent="0.25" r="456" customHeight="1" ht="18.75">
      <c r="A456" s="1"/>
      <c r="B456" s="1"/>
    </row>
    <row x14ac:dyDescent="0.25" r="457" customHeight="1" ht="18.75">
      <c r="A457" s="1"/>
      <c r="B457" s="1"/>
    </row>
    <row x14ac:dyDescent="0.25" r="458" customHeight="1" ht="18.75">
      <c r="A458" s="1"/>
      <c r="B458" s="3"/>
    </row>
    <row x14ac:dyDescent="0.25" r="459" customHeight="1" ht="18.75">
      <c r="A459" s="1"/>
      <c r="B459" s="1"/>
    </row>
    <row x14ac:dyDescent="0.25" r="460" customHeight="1" ht="18.75">
      <c r="A460" s="1"/>
      <c r="B460" s="1"/>
    </row>
    <row x14ac:dyDescent="0.25" r="461" customHeight="1" ht="18.75">
      <c r="A461" s="1"/>
      <c r="B461" s="3"/>
    </row>
    <row x14ac:dyDescent="0.25" r="462" customHeight="1" ht="18.75">
      <c r="A462" s="1"/>
      <c r="B462" s="3"/>
    </row>
    <row x14ac:dyDescent="0.25" r="463" customHeight="1" ht="18.75">
      <c r="A463" s="1"/>
      <c r="B463" s="1"/>
    </row>
    <row x14ac:dyDescent="0.25" r="464" customHeight="1" ht="18.75">
      <c r="A464" s="1"/>
      <c r="B464" s="1"/>
    </row>
    <row x14ac:dyDescent="0.25" r="465" customHeight="1" ht="18.75">
      <c r="A465" s="1"/>
      <c r="B465" s="3"/>
    </row>
    <row x14ac:dyDescent="0.25" r="466" customHeight="1" ht="18.75">
      <c r="A466" s="1"/>
      <c r="B466" s="1"/>
    </row>
    <row x14ac:dyDescent="0.25" r="467" customHeight="1" ht="18.75">
      <c r="A467" s="1"/>
      <c r="B467" s="1"/>
    </row>
    <row x14ac:dyDescent="0.25" r="468" customHeight="1" ht="18.75">
      <c r="A468" s="1"/>
      <c r="B468" s="3"/>
    </row>
    <row x14ac:dyDescent="0.25" r="469" customHeight="1" ht="18.75">
      <c r="A469" s="1"/>
      <c r="B469" s="1"/>
    </row>
    <row x14ac:dyDescent="0.25" r="470" customHeight="1" ht="18.75">
      <c r="A470" s="1"/>
      <c r="B470" s="1"/>
    </row>
    <row x14ac:dyDescent="0.25" r="471" customHeight="1" ht="18.75">
      <c r="A471" s="1"/>
      <c r="B471" s="3"/>
    </row>
    <row x14ac:dyDescent="0.25" r="472" customHeight="1" ht="18.75">
      <c r="A472" s="1"/>
      <c r="B472" s="1"/>
    </row>
    <row x14ac:dyDescent="0.25" r="473" customHeight="1" ht="18.75">
      <c r="A473" s="1"/>
      <c r="B473" s="3"/>
    </row>
    <row x14ac:dyDescent="0.25" r="474" customHeight="1" ht="18.75">
      <c r="A474" s="1"/>
      <c r="B474" s="1"/>
    </row>
    <row x14ac:dyDescent="0.25" r="475" customHeight="1" ht="18.75">
      <c r="A475" s="1"/>
      <c r="B475" s="3"/>
    </row>
    <row x14ac:dyDescent="0.25" r="476" customHeight="1" ht="18.75">
      <c r="A476" s="1"/>
      <c r="B476" s="1"/>
    </row>
    <row x14ac:dyDescent="0.25" r="477" customHeight="1" ht="18.75">
      <c r="A477" s="1"/>
      <c r="B477" s="1"/>
    </row>
    <row x14ac:dyDescent="0.25" r="478" customHeight="1" ht="18.75">
      <c r="A478" s="1"/>
      <c r="B478" s="3"/>
    </row>
    <row x14ac:dyDescent="0.25" r="479" customHeight="1" ht="18.75">
      <c r="A479" s="1"/>
      <c r="B479" s="1"/>
    </row>
    <row x14ac:dyDescent="0.25" r="480" customHeight="1" ht="18.75">
      <c r="A480" s="1"/>
      <c r="B480" s="1"/>
    </row>
    <row x14ac:dyDescent="0.25" r="481" customHeight="1" ht="18.75">
      <c r="A481" s="1"/>
      <c r="B481" s="1"/>
    </row>
    <row x14ac:dyDescent="0.25" r="482" customHeight="1" ht="18.75">
      <c r="A482" s="1"/>
      <c r="B482" s="1"/>
    </row>
    <row x14ac:dyDescent="0.25" r="483" customHeight="1" ht="18.75">
      <c r="A483" s="1"/>
      <c r="B483" s="1"/>
    </row>
    <row x14ac:dyDescent="0.25" r="484" customHeight="1" ht="18.75">
      <c r="A484" s="1"/>
      <c r="B484" s="1"/>
    </row>
    <row x14ac:dyDescent="0.25" r="485" customHeight="1" ht="18.75">
      <c r="A485" s="1"/>
      <c r="B485" s="1"/>
    </row>
    <row x14ac:dyDescent="0.25" r="486" customHeight="1" ht="18.75">
      <c r="A486" s="1"/>
      <c r="B486" s="1"/>
    </row>
    <row x14ac:dyDescent="0.25" r="487" customHeight="1" ht="18.75">
      <c r="A487" s="1"/>
      <c r="B487" s="1"/>
    </row>
    <row x14ac:dyDescent="0.25" r="488" customHeight="1" ht="18.75">
      <c r="A488" s="1"/>
      <c r="B488" s="1"/>
    </row>
    <row x14ac:dyDescent="0.25" r="489" customHeight="1" ht="18.75">
      <c r="A489" s="1"/>
      <c r="B489" s="1"/>
    </row>
    <row x14ac:dyDescent="0.25" r="490" customHeight="1" ht="18.75">
      <c r="A490" s="1"/>
      <c r="B490" s="1"/>
    </row>
    <row x14ac:dyDescent="0.25" r="491" customHeight="1" ht="18.75">
      <c r="A491" s="1"/>
      <c r="B491" s="1"/>
    </row>
    <row x14ac:dyDescent="0.25" r="492" customHeight="1" ht="18.75">
      <c r="A492" s="1"/>
      <c r="B492" s="1"/>
    </row>
    <row x14ac:dyDescent="0.25" r="493" customHeight="1" ht="18.75">
      <c r="A493" s="1"/>
      <c r="B493" s="1"/>
    </row>
    <row x14ac:dyDescent="0.25" r="494" customHeight="1" ht="18.75">
      <c r="A494" s="1"/>
      <c r="B494" s="1"/>
    </row>
    <row x14ac:dyDescent="0.25" r="495" customHeight="1" ht="18.75">
      <c r="A495" s="1"/>
      <c r="B495" s="1"/>
    </row>
    <row x14ac:dyDescent="0.25" r="496" customHeight="1" ht="18.75">
      <c r="A496" s="1"/>
      <c r="B496" s="1"/>
    </row>
    <row x14ac:dyDescent="0.25" r="497" customHeight="1" ht="18.75">
      <c r="A497" s="1"/>
      <c r="B497" s="1"/>
    </row>
    <row x14ac:dyDescent="0.25" r="498" customHeight="1" ht="18.75">
      <c r="A498" s="1"/>
      <c r="B498" s="1"/>
    </row>
    <row x14ac:dyDescent="0.25" r="499" customHeight="1" ht="18.75">
      <c r="A499" s="1"/>
      <c r="B499" s="1"/>
    </row>
    <row x14ac:dyDescent="0.25" r="500" customHeight="1" ht="18.75">
      <c r="A500" s="1"/>
      <c r="B500" s="1"/>
    </row>
    <row x14ac:dyDescent="0.25" r="501" customHeight="1" ht="18.75">
      <c r="A501" s="1"/>
      <c r="B501" s="1"/>
    </row>
    <row x14ac:dyDescent="0.25" r="502" customHeight="1" ht="18.75">
      <c r="A502" s="1"/>
      <c r="B502" s="1"/>
    </row>
    <row x14ac:dyDescent="0.25" r="503" customHeight="1" ht="18.75">
      <c r="A503" s="1"/>
      <c r="B503" s="1"/>
    </row>
    <row x14ac:dyDescent="0.25" r="504" customHeight="1" ht="18.75">
      <c r="A504" s="1"/>
      <c r="B504" s="1"/>
    </row>
    <row x14ac:dyDescent="0.25" r="505" customHeight="1" ht="18.75">
      <c r="A505" s="1"/>
      <c r="B505" s="1"/>
    </row>
    <row x14ac:dyDescent="0.25" r="506" customHeight="1" ht="18.75">
      <c r="A506" s="1"/>
      <c r="B506" s="1"/>
    </row>
    <row x14ac:dyDescent="0.25" r="507" customHeight="1" ht="18.75">
      <c r="A507" s="1"/>
      <c r="B507" s="1"/>
    </row>
    <row x14ac:dyDescent="0.25" r="508" customHeight="1" ht="18.75">
      <c r="A508" s="1"/>
      <c r="B508" s="1"/>
    </row>
    <row x14ac:dyDescent="0.25" r="509" customHeight="1" ht="18.75">
      <c r="A509" s="1"/>
      <c r="B509" s="1"/>
    </row>
    <row x14ac:dyDescent="0.25" r="510" customHeight="1" ht="18.75">
      <c r="A510" s="1"/>
      <c r="B510" s="1"/>
    </row>
    <row x14ac:dyDescent="0.25" r="511" customHeight="1" ht="18.75">
      <c r="A511" s="1"/>
      <c r="B511" s="1"/>
    </row>
    <row x14ac:dyDescent="0.25" r="512" customHeight="1" ht="18.75">
      <c r="A512" s="1"/>
      <c r="B512" s="1"/>
    </row>
    <row x14ac:dyDescent="0.25" r="513" customHeight="1" ht="18.75">
      <c r="A513" s="1"/>
      <c r="B513" s="1"/>
    </row>
    <row x14ac:dyDescent="0.25" r="514" customHeight="1" ht="18.75">
      <c r="A514" s="1"/>
      <c r="B514" s="1"/>
    </row>
    <row x14ac:dyDescent="0.25" r="515" customHeight="1" ht="18.75">
      <c r="A515" s="1"/>
      <c r="B515" s="1"/>
    </row>
    <row x14ac:dyDescent="0.25" r="516" customHeight="1" ht="18.75">
      <c r="A516" s="1"/>
      <c r="B516" s="1"/>
    </row>
    <row x14ac:dyDescent="0.25" r="517" customHeight="1" ht="18.75">
      <c r="A517" s="1"/>
      <c r="B517" s="1"/>
    </row>
    <row x14ac:dyDescent="0.25" r="518" customHeight="1" ht="18.75">
      <c r="A518" s="1"/>
      <c r="B518" s="1"/>
    </row>
    <row x14ac:dyDescent="0.25" r="519" customHeight="1" ht="18.75">
      <c r="A519" s="1"/>
      <c r="B519" s="1"/>
    </row>
    <row x14ac:dyDescent="0.25" r="520" customHeight="1" ht="18.75">
      <c r="A520" s="1"/>
      <c r="B520" s="1"/>
    </row>
    <row x14ac:dyDescent="0.25" r="521" customHeight="1" ht="18.75">
      <c r="A521" s="1"/>
      <c r="B521" s="1"/>
    </row>
    <row x14ac:dyDescent="0.25" r="522" customHeight="1" ht="18.75">
      <c r="A522" s="1"/>
      <c r="B522" s="1"/>
    </row>
    <row x14ac:dyDescent="0.25" r="523" customHeight="1" ht="18.75">
      <c r="A523" s="1"/>
      <c r="B523" s="1"/>
    </row>
    <row x14ac:dyDescent="0.25" r="524" customHeight="1" ht="18.75">
      <c r="A524" s="1"/>
      <c r="B524" s="1"/>
    </row>
    <row x14ac:dyDescent="0.25" r="525" customHeight="1" ht="18.75">
      <c r="A525" s="1"/>
      <c r="B525" s="1"/>
    </row>
    <row x14ac:dyDescent="0.25" r="526" customHeight="1" ht="18.75">
      <c r="A526" s="1"/>
      <c r="B526" s="1"/>
    </row>
    <row x14ac:dyDescent="0.25" r="527" customHeight="1" ht="18.75">
      <c r="A527" s="1"/>
      <c r="B527" s="1"/>
    </row>
    <row x14ac:dyDescent="0.25" r="528" customHeight="1" ht="18.75">
      <c r="A528" s="1"/>
      <c r="B528" s="1"/>
    </row>
    <row x14ac:dyDescent="0.25" r="529" customHeight="1" ht="18.75">
      <c r="A529" s="1"/>
      <c r="B529" s="1"/>
    </row>
    <row x14ac:dyDescent="0.25" r="530" customHeight="1" ht="18.75">
      <c r="A530" s="1"/>
      <c r="B530" s="1"/>
    </row>
    <row x14ac:dyDescent="0.25" r="531" customHeight="1" ht="18.75">
      <c r="A531" s="1"/>
      <c r="B531" s="1"/>
    </row>
    <row x14ac:dyDescent="0.25" r="532" customHeight="1" ht="18.75">
      <c r="A532" s="1"/>
      <c r="B532" s="1"/>
    </row>
    <row x14ac:dyDescent="0.25" r="533" customHeight="1" ht="18.75">
      <c r="A533" s="1"/>
      <c r="B533" s="1"/>
    </row>
    <row x14ac:dyDescent="0.25" r="534" customHeight="1" ht="18.75">
      <c r="A534" s="1"/>
      <c r="B534" s="1"/>
    </row>
    <row x14ac:dyDescent="0.25" r="535" customHeight="1" ht="18.75">
      <c r="A535" s="1"/>
      <c r="B535" s="1"/>
    </row>
    <row x14ac:dyDescent="0.25" r="536" customHeight="1" ht="18.75">
      <c r="A536" s="1"/>
      <c r="B536" s="1"/>
    </row>
    <row x14ac:dyDescent="0.25" r="537" customHeight="1" ht="18.75">
      <c r="A537" s="1"/>
      <c r="B537" s="1"/>
    </row>
    <row x14ac:dyDescent="0.25" r="538" customHeight="1" ht="18.75">
      <c r="A538" s="1"/>
      <c r="B538" s="1"/>
    </row>
    <row x14ac:dyDescent="0.25" r="539" customHeight="1" ht="18.75">
      <c r="A539" s="1"/>
      <c r="B539" s="1"/>
    </row>
    <row x14ac:dyDescent="0.25" r="540" customHeight="1" ht="18.75">
      <c r="A540" s="1"/>
      <c r="B540" s="1"/>
    </row>
    <row x14ac:dyDescent="0.25" r="541" customHeight="1" ht="18.75">
      <c r="A541" s="1"/>
      <c r="B541" s="1"/>
    </row>
    <row x14ac:dyDescent="0.25" r="542" customHeight="1" ht="18.75">
      <c r="A542" s="1"/>
      <c r="B542" s="1"/>
    </row>
    <row x14ac:dyDescent="0.25" r="543" customHeight="1" ht="18.75">
      <c r="A543" s="1"/>
      <c r="B543" s="1"/>
    </row>
    <row x14ac:dyDescent="0.25" r="544" customHeight="1" ht="18.75">
      <c r="A544" s="1"/>
      <c r="B544" s="1"/>
    </row>
    <row x14ac:dyDescent="0.25" r="545" customHeight="1" ht="18.75">
      <c r="A545" s="1"/>
      <c r="B545" s="1"/>
    </row>
    <row x14ac:dyDescent="0.25" r="546" customHeight="1" ht="18.75">
      <c r="A546" s="1"/>
      <c r="B546" s="1"/>
    </row>
    <row x14ac:dyDescent="0.25" r="547" customHeight="1" ht="18.75">
      <c r="A547" s="1"/>
      <c r="B547" s="1"/>
    </row>
    <row x14ac:dyDescent="0.25" r="548" customHeight="1" ht="18.75">
      <c r="A548" s="1"/>
      <c r="B548" s="1"/>
    </row>
    <row x14ac:dyDescent="0.25" r="549" customHeight="1" ht="18.75">
      <c r="A549" s="1"/>
      <c r="B549" s="1"/>
    </row>
    <row x14ac:dyDescent="0.25" r="550" customHeight="1" ht="18.75">
      <c r="A550" s="1"/>
      <c r="B550" s="1"/>
    </row>
    <row x14ac:dyDescent="0.25" r="551" customHeight="1" ht="18.75">
      <c r="A551" s="1"/>
      <c r="B551" s="1"/>
    </row>
    <row x14ac:dyDescent="0.25" r="552" customHeight="1" ht="18.75">
      <c r="A552" s="1"/>
      <c r="B552" s="1"/>
    </row>
    <row x14ac:dyDescent="0.25" r="553" customHeight="1" ht="18.75">
      <c r="A553" s="1"/>
      <c r="B553" s="1"/>
    </row>
    <row x14ac:dyDescent="0.25" r="554" customHeight="1" ht="18.75">
      <c r="A554" s="1"/>
      <c r="B554" s="1"/>
    </row>
    <row x14ac:dyDescent="0.25" r="555" customHeight="1" ht="18.75">
      <c r="A555" s="1"/>
      <c r="B555" s="1"/>
    </row>
    <row x14ac:dyDescent="0.25" r="556" customHeight="1" ht="18.75">
      <c r="A556" s="1"/>
      <c r="B556" s="1"/>
    </row>
    <row x14ac:dyDescent="0.25" r="557" customHeight="1" ht="18.75">
      <c r="A557" s="1"/>
      <c r="B557" s="1"/>
    </row>
    <row x14ac:dyDescent="0.25" r="558" customHeight="1" ht="18.75">
      <c r="A558" s="1"/>
      <c r="B558" s="1"/>
    </row>
    <row x14ac:dyDescent="0.25" r="559" customHeight="1" ht="18.75">
      <c r="A559" s="1"/>
      <c r="B559" s="1"/>
    </row>
    <row x14ac:dyDescent="0.25" r="560" customHeight="1" ht="18.75">
      <c r="A560" s="1"/>
      <c r="B560" s="1"/>
    </row>
    <row x14ac:dyDescent="0.25" r="561" customHeight="1" ht="18.75">
      <c r="A561" s="1"/>
      <c r="B561" s="1"/>
    </row>
    <row x14ac:dyDescent="0.25" r="562" customHeight="1" ht="18.75">
      <c r="A562" s="1"/>
      <c r="B562" s="1"/>
    </row>
    <row x14ac:dyDescent="0.25" r="563" customHeight="1" ht="18.75">
      <c r="A563" s="1"/>
      <c r="B563" s="1"/>
    </row>
    <row x14ac:dyDescent="0.25" r="564" customHeight="1" ht="18.75">
      <c r="A564" s="1"/>
      <c r="B564" s="1"/>
    </row>
    <row x14ac:dyDescent="0.25" r="565" customHeight="1" ht="18.75">
      <c r="A565" s="1"/>
      <c r="B565" s="1"/>
    </row>
    <row x14ac:dyDescent="0.25" r="566" customHeight="1" ht="18.75">
      <c r="A566" s="1"/>
      <c r="B566" s="1"/>
    </row>
    <row x14ac:dyDescent="0.25" r="567" customHeight="1" ht="18.75">
      <c r="A567" s="1"/>
      <c r="B567" s="1"/>
    </row>
    <row x14ac:dyDescent="0.25" r="568" customHeight="1" ht="18.75">
      <c r="A568" s="1"/>
      <c r="B568" s="1"/>
    </row>
    <row x14ac:dyDescent="0.25" r="569" customHeight="1" ht="18.75">
      <c r="A569" s="1"/>
      <c r="B569" s="1"/>
    </row>
    <row x14ac:dyDescent="0.25" r="570" customHeight="1" ht="18.75">
      <c r="A570" s="1"/>
      <c r="B570" s="1"/>
    </row>
    <row x14ac:dyDescent="0.25" r="571" customHeight="1" ht="18.75">
      <c r="A571" s="1"/>
      <c r="B571" s="1"/>
    </row>
    <row x14ac:dyDescent="0.25" r="572" customHeight="1" ht="18.75">
      <c r="A572" s="1"/>
      <c r="B572" s="1"/>
    </row>
    <row x14ac:dyDescent="0.25" r="573" customHeight="1" ht="18.75">
      <c r="A573" s="1"/>
      <c r="B573" s="1"/>
    </row>
    <row x14ac:dyDescent="0.25" r="574" customHeight="1" ht="18.75">
      <c r="A574" s="1"/>
      <c r="B574" s="1"/>
    </row>
    <row x14ac:dyDescent="0.25" r="575" customHeight="1" ht="18.75">
      <c r="A575" s="1"/>
      <c r="B575" s="1"/>
    </row>
    <row x14ac:dyDescent="0.25" r="576" customHeight="1" ht="18.75">
      <c r="A576" s="1"/>
      <c r="B576" s="1"/>
    </row>
    <row x14ac:dyDescent="0.25" r="577" customHeight="1" ht="18.75">
      <c r="A577" s="1"/>
      <c r="B577" s="1"/>
    </row>
    <row x14ac:dyDescent="0.25" r="578" customHeight="1" ht="18.75">
      <c r="A578" s="1"/>
      <c r="B578" s="1"/>
    </row>
    <row x14ac:dyDescent="0.25" r="579" customHeight="1" ht="18.75">
      <c r="A579" s="1"/>
      <c r="B579" s="1"/>
    </row>
    <row x14ac:dyDescent="0.25" r="580" customHeight="1" ht="18.75">
      <c r="A580" s="1"/>
      <c r="B580" s="1"/>
    </row>
    <row x14ac:dyDescent="0.25" r="581" customHeight="1" ht="18.75">
      <c r="A581" s="1"/>
      <c r="B581" s="1"/>
    </row>
    <row x14ac:dyDescent="0.25" r="582" customHeight="1" ht="18.75">
      <c r="A582" s="1"/>
      <c r="B582" s="1"/>
    </row>
    <row x14ac:dyDescent="0.25" r="583" customHeight="1" ht="18.75">
      <c r="A583" s="1"/>
      <c r="B583" s="1"/>
    </row>
    <row x14ac:dyDescent="0.25" r="584" customHeight="1" ht="18.75">
      <c r="A584" s="1"/>
      <c r="B584" s="1"/>
    </row>
    <row x14ac:dyDescent="0.25" r="585" customHeight="1" ht="18.75">
      <c r="A585" s="1"/>
      <c r="B585" s="1"/>
    </row>
    <row x14ac:dyDescent="0.25" r="586" customHeight="1" ht="18.75">
      <c r="A586" s="1"/>
      <c r="B586" s="1"/>
    </row>
    <row x14ac:dyDescent="0.25" r="587" customHeight="1" ht="18.75">
      <c r="A587" s="1"/>
      <c r="B587" s="1"/>
    </row>
    <row x14ac:dyDescent="0.25" r="588" customHeight="1" ht="18.75">
      <c r="A588" s="1"/>
      <c r="B588" s="1"/>
    </row>
    <row x14ac:dyDescent="0.25" r="589" customHeight="1" ht="18.75">
      <c r="A589" s="1"/>
      <c r="B589" s="1"/>
    </row>
    <row x14ac:dyDescent="0.25" r="590" customHeight="1" ht="18.75">
      <c r="A590" s="1"/>
      <c r="B590" s="1"/>
    </row>
    <row x14ac:dyDescent="0.25" r="591" customHeight="1" ht="18.75">
      <c r="A591" s="1"/>
      <c r="B591" s="1"/>
    </row>
    <row x14ac:dyDescent="0.25" r="592" customHeight="1" ht="18.75">
      <c r="A592" s="1"/>
      <c r="B592" s="1"/>
    </row>
    <row x14ac:dyDescent="0.25" r="593" customHeight="1" ht="18.75">
      <c r="A593" s="1"/>
      <c r="B593" s="1"/>
    </row>
    <row x14ac:dyDescent="0.25" r="594" customHeight="1" ht="18.75">
      <c r="A594" s="1"/>
      <c r="B594" s="1"/>
    </row>
    <row x14ac:dyDescent="0.25" r="595" customHeight="1" ht="18.75">
      <c r="A595" s="1"/>
      <c r="B595" s="1"/>
    </row>
    <row x14ac:dyDescent="0.25" r="596" customHeight="1" ht="18.75">
      <c r="A596" s="1"/>
      <c r="B596" s="1"/>
    </row>
    <row x14ac:dyDescent="0.25" r="597" customHeight="1" ht="18.75">
      <c r="A597" s="1"/>
      <c r="B597" s="1"/>
    </row>
    <row x14ac:dyDescent="0.25" r="598" customHeight="1" ht="18.75">
      <c r="A598" s="1"/>
      <c r="B598" s="1"/>
    </row>
    <row x14ac:dyDescent="0.25" r="599" customHeight="1" ht="18.75">
      <c r="A599" s="1"/>
      <c r="B599" s="1"/>
    </row>
    <row x14ac:dyDescent="0.25" r="600" customHeight="1" ht="18.75">
      <c r="A600" s="1"/>
      <c r="B600" s="1"/>
    </row>
    <row x14ac:dyDescent="0.25" r="601" customHeight="1" ht="18.75">
      <c r="A601" s="1"/>
      <c r="B601" s="1"/>
    </row>
    <row x14ac:dyDescent="0.25" r="602" customHeight="1" ht="18.75">
      <c r="A602" s="1"/>
      <c r="B602" s="1"/>
    </row>
    <row x14ac:dyDescent="0.25" r="603" customHeight="1" ht="18.75">
      <c r="A603" s="1"/>
      <c r="B603" s="1"/>
    </row>
    <row x14ac:dyDescent="0.25" r="604" customHeight="1" ht="18.75">
      <c r="A604" s="1"/>
      <c r="B604" s="1"/>
    </row>
    <row x14ac:dyDescent="0.25" r="605" customHeight="1" ht="18.75">
      <c r="A605" s="1"/>
      <c r="B605" s="1"/>
    </row>
    <row x14ac:dyDescent="0.25" r="606" customHeight="1" ht="18.75">
      <c r="A606" s="1"/>
      <c r="B606" s="1"/>
    </row>
    <row x14ac:dyDescent="0.25" r="607" customHeight="1" ht="18.75">
      <c r="A607" s="1"/>
      <c r="B607" s="1"/>
    </row>
    <row x14ac:dyDescent="0.25" r="608" customHeight="1" ht="18.75">
      <c r="A608" s="1"/>
      <c r="B608" s="1"/>
    </row>
    <row x14ac:dyDescent="0.25" r="609" customHeight="1" ht="18.75">
      <c r="A609" s="1"/>
      <c r="B609" s="1"/>
    </row>
    <row x14ac:dyDescent="0.25" r="610" customHeight="1" ht="18.75">
      <c r="A610" s="1"/>
      <c r="B610" s="1"/>
    </row>
    <row x14ac:dyDescent="0.25" r="611" customHeight="1" ht="18.75">
      <c r="A611" s="1"/>
      <c r="B611" s="3"/>
    </row>
    <row x14ac:dyDescent="0.25" r="612" customHeight="1" ht="18.75">
      <c r="A612" s="1"/>
      <c r="B612" s="3"/>
    </row>
    <row x14ac:dyDescent="0.25" r="613" customHeight="1" ht="18.75">
      <c r="A613" s="1"/>
      <c r="B613" s="3"/>
    </row>
    <row x14ac:dyDescent="0.25" r="614" customHeight="1" ht="18.75">
      <c r="A614" s="1"/>
      <c r="B614" s="3"/>
    </row>
    <row x14ac:dyDescent="0.25" r="615" customHeight="1" ht="18.75">
      <c r="A615" s="1"/>
      <c r="B615" s="3"/>
    </row>
    <row x14ac:dyDescent="0.25" r="616" customHeight="1" ht="18.75">
      <c r="A616" s="1"/>
      <c r="B616" s="3"/>
    </row>
    <row x14ac:dyDescent="0.25" r="617" customHeight="1" ht="18.75">
      <c r="A617" s="1"/>
      <c r="B617" s="1"/>
    </row>
    <row x14ac:dyDescent="0.25" r="618" customHeight="1" ht="18.75">
      <c r="A618" s="1"/>
      <c r="B618" s="3"/>
    </row>
    <row x14ac:dyDescent="0.25" r="619" customHeight="1" ht="18.75">
      <c r="A619" s="1"/>
      <c r="B619" s="1"/>
    </row>
    <row x14ac:dyDescent="0.25" r="620" customHeight="1" ht="18.75">
      <c r="A620" s="1"/>
      <c r="B620" s="3"/>
    </row>
    <row x14ac:dyDescent="0.25" r="621" customHeight="1" ht="18.75">
      <c r="A621" s="1"/>
      <c r="B621" s="3"/>
    </row>
    <row x14ac:dyDescent="0.25" r="622" customHeight="1" ht="18.75">
      <c r="A622" s="1"/>
      <c r="B622" s="3"/>
    </row>
    <row x14ac:dyDescent="0.25" r="623" customHeight="1" ht="18.75">
      <c r="A623" s="1"/>
      <c r="B623" s="3"/>
    </row>
    <row x14ac:dyDescent="0.25" r="624" customHeight="1" ht="18.75">
      <c r="A624" s="1"/>
      <c r="B624" s="1"/>
    </row>
    <row x14ac:dyDescent="0.25" r="625" customHeight="1" ht="18.75">
      <c r="A625" s="1"/>
      <c r="B625" s="3"/>
    </row>
    <row x14ac:dyDescent="0.25" r="626" customHeight="1" ht="18.75">
      <c r="A626" s="1"/>
      <c r="B626" s="1"/>
    </row>
    <row x14ac:dyDescent="0.25" r="627" customHeight="1" ht="18.75">
      <c r="A627" s="1"/>
      <c r="B627" s="1"/>
    </row>
    <row x14ac:dyDescent="0.25" r="628" customHeight="1" ht="18.75">
      <c r="A628" s="1"/>
      <c r="B628" s="3"/>
    </row>
    <row x14ac:dyDescent="0.25" r="629" customHeight="1" ht="18.75">
      <c r="A629" s="1"/>
      <c r="B629" s="1"/>
    </row>
    <row x14ac:dyDescent="0.25" r="630" customHeight="1" ht="18.75">
      <c r="A630" s="1"/>
      <c r="B630" s="1"/>
    </row>
    <row x14ac:dyDescent="0.25" r="631" customHeight="1" ht="18.75">
      <c r="A631" s="1"/>
      <c r="B631" s="1"/>
    </row>
    <row x14ac:dyDescent="0.25" r="632" customHeight="1" ht="18.75">
      <c r="A632" s="1"/>
      <c r="B632" s="1"/>
    </row>
    <row x14ac:dyDescent="0.25" r="633" customHeight="1" ht="18.75">
      <c r="A633" s="1"/>
      <c r="B633" s="1"/>
    </row>
    <row x14ac:dyDescent="0.25" r="634" customHeight="1" ht="18.75">
      <c r="A634" s="1"/>
      <c r="B634" s="1"/>
    </row>
    <row x14ac:dyDescent="0.25" r="635" customHeight="1" ht="18.75">
      <c r="A635" s="1"/>
      <c r="B635" s="1"/>
    </row>
    <row x14ac:dyDescent="0.25" r="636" customHeight="1" ht="18.75">
      <c r="A636" s="1"/>
      <c r="B636" s="3"/>
    </row>
    <row x14ac:dyDescent="0.25" r="637" customHeight="1" ht="18.75">
      <c r="A637" s="1"/>
      <c r="B637" s="3"/>
    </row>
    <row x14ac:dyDescent="0.25" r="638" customHeight="1" ht="18.75">
      <c r="A638" s="1"/>
      <c r="B638" s="1"/>
    </row>
    <row x14ac:dyDescent="0.25" r="639" customHeight="1" ht="18.75">
      <c r="A639" s="1"/>
      <c r="B639" s="3"/>
    </row>
    <row x14ac:dyDescent="0.25" r="640" customHeight="1" ht="18.75">
      <c r="A640" s="1"/>
      <c r="B640" s="3"/>
    </row>
    <row x14ac:dyDescent="0.25" r="641" customHeight="1" ht="18.75">
      <c r="A641" s="1"/>
      <c r="B641" s="1"/>
    </row>
    <row x14ac:dyDescent="0.25" r="642" customHeight="1" ht="18.75">
      <c r="A642" s="1"/>
      <c r="B642" s="1"/>
    </row>
    <row x14ac:dyDescent="0.25" r="643" customHeight="1" ht="18.75">
      <c r="A643" s="1"/>
      <c r="B643" s="1"/>
    </row>
    <row x14ac:dyDescent="0.25" r="644" customHeight="1" ht="18.75">
      <c r="A644" s="1"/>
      <c r="B644" s="1"/>
    </row>
    <row x14ac:dyDescent="0.25" r="645" customHeight="1" ht="18.75">
      <c r="A645" s="1"/>
      <c r="B645" s="3"/>
    </row>
    <row x14ac:dyDescent="0.25" r="646" customHeight="1" ht="18.75">
      <c r="A646" s="1"/>
      <c r="B646" s="3"/>
    </row>
    <row x14ac:dyDescent="0.25" r="647" customHeight="1" ht="18.75">
      <c r="A647" s="1"/>
      <c r="B647" s="1"/>
    </row>
    <row x14ac:dyDescent="0.25" r="648" customHeight="1" ht="18.75">
      <c r="A648" s="1"/>
      <c r="B648" s="3"/>
    </row>
    <row x14ac:dyDescent="0.25" r="649" customHeight="1" ht="18.75">
      <c r="A649" s="1"/>
      <c r="B649" s="3"/>
    </row>
    <row x14ac:dyDescent="0.25" r="650" customHeight="1" ht="18.75">
      <c r="A650" s="1"/>
      <c r="B650" s="3"/>
    </row>
    <row x14ac:dyDescent="0.25" r="651" customHeight="1" ht="18.75">
      <c r="A651" s="1"/>
      <c r="B651" s="3"/>
    </row>
    <row x14ac:dyDescent="0.25" r="652" customHeight="1" ht="18.75">
      <c r="A652" s="1"/>
      <c r="B652" s="3"/>
    </row>
    <row x14ac:dyDescent="0.25" r="653" customHeight="1" ht="18.75">
      <c r="A653" s="1"/>
      <c r="B653" s="3"/>
    </row>
    <row x14ac:dyDescent="0.25" r="654" customHeight="1" ht="18.75">
      <c r="A654" s="1"/>
      <c r="B654" s="3"/>
    </row>
    <row x14ac:dyDescent="0.25" r="655" customHeight="1" ht="18.75">
      <c r="A655" s="1"/>
      <c r="B655" s="3"/>
    </row>
    <row x14ac:dyDescent="0.25" r="656" customHeight="1" ht="18.75">
      <c r="A656" s="1"/>
      <c r="B656" s="3"/>
    </row>
    <row x14ac:dyDescent="0.25" r="657" customHeight="1" ht="18.75">
      <c r="A657" s="1"/>
      <c r="B657" s="1"/>
    </row>
    <row x14ac:dyDescent="0.25" r="658" customHeight="1" ht="18.75">
      <c r="A658" s="1"/>
      <c r="B658" s="3"/>
    </row>
    <row x14ac:dyDescent="0.25" r="659" customHeight="1" ht="18.75">
      <c r="A659" s="1"/>
      <c r="B659" s="3"/>
    </row>
    <row x14ac:dyDescent="0.25" r="660" customHeight="1" ht="18.75">
      <c r="A660" s="1"/>
      <c r="B660" s="3"/>
    </row>
    <row x14ac:dyDescent="0.25" r="661" customHeight="1" ht="18.75">
      <c r="A661" s="1"/>
      <c r="B661" s="3"/>
    </row>
    <row x14ac:dyDescent="0.25" r="662" customHeight="1" ht="18.75">
      <c r="A662" s="1"/>
      <c r="B662" s="3"/>
    </row>
    <row x14ac:dyDescent="0.25" r="663" customHeight="1" ht="18.75">
      <c r="A663" s="1"/>
      <c r="B663" s="3"/>
    </row>
    <row x14ac:dyDescent="0.25" r="664" customHeight="1" ht="18.75">
      <c r="A664" s="1"/>
      <c r="B664" s="1"/>
    </row>
    <row x14ac:dyDescent="0.25" r="665" customHeight="1" ht="18.75">
      <c r="A665" s="1"/>
      <c r="B665" s="3"/>
    </row>
    <row x14ac:dyDescent="0.25" r="666" customHeight="1" ht="18.75">
      <c r="A666" s="1"/>
      <c r="B666" s="3"/>
    </row>
    <row x14ac:dyDescent="0.25" r="667" customHeight="1" ht="18.75">
      <c r="A667" s="1"/>
      <c r="B667" s="3"/>
    </row>
    <row x14ac:dyDescent="0.25" r="668" customHeight="1" ht="18.75">
      <c r="A668" s="1"/>
      <c r="B668" s="3"/>
    </row>
    <row x14ac:dyDescent="0.25" r="669" customHeight="1" ht="18.75">
      <c r="A669" s="1"/>
      <c r="B669" s="3"/>
    </row>
    <row x14ac:dyDescent="0.25" r="670" customHeight="1" ht="18.75">
      <c r="A670" s="1"/>
      <c r="B670" s="3"/>
    </row>
    <row x14ac:dyDescent="0.25" r="671" customHeight="1" ht="18.75">
      <c r="A671" s="1"/>
      <c r="B671" s="1"/>
    </row>
    <row x14ac:dyDescent="0.25" r="672" customHeight="1" ht="18.75">
      <c r="A672" s="1"/>
      <c r="B672" s="3"/>
    </row>
    <row x14ac:dyDescent="0.25" r="673" customHeight="1" ht="18.75">
      <c r="A673" s="1"/>
      <c r="B673" s="3"/>
    </row>
    <row x14ac:dyDescent="0.25" r="674" customHeight="1" ht="18.75">
      <c r="A674" s="1"/>
      <c r="B674" s="3"/>
    </row>
    <row x14ac:dyDescent="0.25" r="675" customHeight="1" ht="18.75">
      <c r="A675" s="1"/>
      <c r="B675" s="3"/>
    </row>
    <row x14ac:dyDescent="0.25" r="676" customHeight="1" ht="18.75">
      <c r="A676" s="1"/>
      <c r="B676" s="3"/>
    </row>
    <row x14ac:dyDescent="0.25" r="677" customHeight="1" ht="18.75">
      <c r="A677" s="1"/>
      <c r="B677" s="3"/>
    </row>
    <row x14ac:dyDescent="0.25" r="678" customHeight="1" ht="18.75">
      <c r="A678" s="1"/>
      <c r="B678" s="3"/>
    </row>
    <row x14ac:dyDescent="0.25" r="679" customHeight="1" ht="18.75">
      <c r="A679" s="1"/>
      <c r="B679" s="3"/>
    </row>
    <row x14ac:dyDescent="0.25" r="680" customHeight="1" ht="18.75">
      <c r="A680" s="1"/>
      <c r="B680" s="3"/>
    </row>
    <row x14ac:dyDescent="0.25" r="681" customHeight="1" ht="18.75">
      <c r="A681" s="1"/>
      <c r="B681" s="3"/>
    </row>
    <row x14ac:dyDescent="0.25" r="682" customHeight="1" ht="18.75">
      <c r="A682" s="1"/>
      <c r="B682" s="3"/>
    </row>
    <row x14ac:dyDescent="0.25" r="683" customHeight="1" ht="18.75">
      <c r="A683" s="1"/>
      <c r="B683" s="1"/>
    </row>
    <row x14ac:dyDescent="0.25" r="684" customHeight="1" ht="18.75">
      <c r="A684" s="1"/>
      <c r="B684" s="3"/>
    </row>
    <row x14ac:dyDescent="0.25" r="685" customHeight="1" ht="18.75">
      <c r="A685" s="1"/>
      <c r="B685" s="1"/>
    </row>
    <row x14ac:dyDescent="0.25" r="686" customHeight="1" ht="18.75">
      <c r="A686" s="1"/>
      <c r="B686" s="3"/>
    </row>
    <row x14ac:dyDescent="0.25" r="687" customHeight="1" ht="18.75">
      <c r="A687" s="1"/>
      <c r="B687" s="3"/>
    </row>
    <row x14ac:dyDescent="0.25" r="688" customHeight="1" ht="18.75">
      <c r="A688" s="1"/>
      <c r="B688" s="3"/>
    </row>
    <row x14ac:dyDescent="0.25" r="689" customHeight="1" ht="18.75">
      <c r="A689" s="1"/>
      <c r="B689" s="3"/>
    </row>
    <row x14ac:dyDescent="0.25" r="690" customHeight="1" ht="18.75">
      <c r="A690" s="1"/>
      <c r="B690" s="1"/>
    </row>
    <row x14ac:dyDescent="0.25" r="691" customHeight="1" ht="18.75">
      <c r="A691" s="1"/>
      <c r="B691" s="1"/>
    </row>
    <row x14ac:dyDescent="0.25" r="692" customHeight="1" ht="18.75">
      <c r="A692" s="1"/>
      <c r="B692" s="1"/>
    </row>
    <row x14ac:dyDescent="0.25" r="693" customHeight="1" ht="18.75">
      <c r="A693" s="1"/>
      <c r="B693" s="1"/>
    </row>
    <row x14ac:dyDescent="0.25" r="694" customHeight="1" ht="18.75">
      <c r="A694" s="1"/>
      <c r="B694" s="3"/>
    </row>
    <row x14ac:dyDescent="0.25" r="695" customHeight="1" ht="18.75">
      <c r="A695" s="1"/>
      <c r="B695" s="3"/>
    </row>
    <row x14ac:dyDescent="0.25" r="696" customHeight="1" ht="18.75">
      <c r="A696" s="1"/>
      <c r="B696" s="3"/>
    </row>
    <row x14ac:dyDescent="0.25" r="697" customHeight="1" ht="18.75">
      <c r="A697" s="1"/>
      <c r="B697" s="1"/>
    </row>
    <row x14ac:dyDescent="0.25" r="698" customHeight="1" ht="18.75">
      <c r="A698" s="1"/>
      <c r="B698" s="3"/>
    </row>
    <row x14ac:dyDescent="0.25" r="699" customHeight="1" ht="18.75">
      <c r="A699" s="1"/>
      <c r="B699" s="1"/>
    </row>
    <row x14ac:dyDescent="0.25" r="700" customHeight="1" ht="18.75">
      <c r="A700" s="1"/>
      <c r="B700" s="1"/>
    </row>
    <row x14ac:dyDescent="0.25" r="701" customHeight="1" ht="18.75">
      <c r="A701" s="1"/>
      <c r="B701" s="1"/>
    </row>
    <row x14ac:dyDescent="0.25" r="702" customHeight="1" ht="18.75">
      <c r="A702" s="1"/>
      <c r="B702" s="1"/>
    </row>
    <row x14ac:dyDescent="0.25" r="703" customHeight="1" ht="18.75">
      <c r="A703" s="1"/>
      <c r="B703" s="1"/>
    </row>
    <row x14ac:dyDescent="0.25" r="704" customHeight="1" ht="18.75">
      <c r="A704" s="1"/>
      <c r="B704" s="1"/>
    </row>
    <row x14ac:dyDescent="0.25" r="705" customHeight="1" ht="18.75">
      <c r="A705" s="1"/>
      <c r="B705" s="1"/>
    </row>
    <row x14ac:dyDescent="0.25" r="706" customHeight="1" ht="18.75">
      <c r="A706" s="1"/>
      <c r="B706" s="1"/>
    </row>
    <row x14ac:dyDescent="0.25" r="707" customHeight="1" ht="18.75">
      <c r="A707" s="1"/>
      <c r="B707" s="1"/>
    </row>
    <row x14ac:dyDescent="0.25" r="708" customHeight="1" ht="18.75">
      <c r="A708" s="1"/>
      <c r="B708" s="1"/>
    </row>
    <row x14ac:dyDescent="0.25" r="709" customHeight="1" ht="18.75">
      <c r="A709" s="1"/>
      <c r="B709" s="1"/>
    </row>
    <row x14ac:dyDescent="0.25" r="710" customHeight="1" ht="18.75">
      <c r="A710" s="1"/>
      <c r="B710" s="1"/>
    </row>
    <row x14ac:dyDescent="0.25" r="711" customHeight="1" ht="18.75">
      <c r="A711" s="1"/>
      <c r="B711" s="1"/>
    </row>
    <row x14ac:dyDescent="0.25" r="712" customHeight="1" ht="18.75">
      <c r="A712" s="1"/>
      <c r="B712" s="1"/>
    </row>
    <row x14ac:dyDescent="0.25" r="713" customHeight="1" ht="18.75">
      <c r="A713" s="1"/>
      <c r="B713" s="1"/>
    </row>
    <row x14ac:dyDescent="0.25" r="714" customHeight="1" ht="18.75">
      <c r="A714" s="1"/>
      <c r="B714" s="1"/>
    </row>
    <row x14ac:dyDescent="0.25" r="715" customHeight="1" ht="18.75">
      <c r="A715" s="1"/>
      <c r="B715" s="1"/>
    </row>
    <row x14ac:dyDescent="0.25" r="716" customHeight="1" ht="18.75">
      <c r="A716" s="1"/>
      <c r="B716" s="3"/>
    </row>
    <row x14ac:dyDescent="0.25" r="717" customHeight="1" ht="18.75">
      <c r="A717" s="1"/>
      <c r="B717" s="1"/>
    </row>
    <row x14ac:dyDescent="0.25" r="718" customHeight="1" ht="18.75">
      <c r="A718" s="1"/>
      <c r="B718" s="1"/>
    </row>
    <row x14ac:dyDescent="0.25" r="719" customHeight="1" ht="18.75">
      <c r="A719" s="1"/>
      <c r="B719" s="1"/>
    </row>
    <row x14ac:dyDescent="0.25" r="720" customHeight="1" ht="18.75">
      <c r="A720" s="1"/>
      <c r="B720" s="1"/>
    </row>
    <row x14ac:dyDescent="0.25" r="721" customHeight="1" ht="18.75">
      <c r="A721" s="1"/>
      <c r="B721" s="3"/>
    </row>
    <row x14ac:dyDescent="0.25" r="722" customHeight="1" ht="18.75">
      <c r="A722" s="1"/>
      <c r="B722" s="3"/>
    </row>
    <row x14ac:dyDescent="0.25" r="723" customHeight="1" ht="18.75">
      <c r="A723" s="1"/>
      <c r="B723" s="1"/>
    </row>
    <row x14ac:dyDescent="0.25" r="724" customHeight="1" ht="18.75">
      <c r="A724" s="1"/>
      <c r="B724" s="1"/>
    </row>
    <row x14ac:dyDescent="0.25" r="725" customHeight="1" ht="18.75">
      <c r="A725" s="1"/>
      <c r="B725" s="3"/>
    </row>
    <row x14ac:dyDescent="0.25" r="726" customHeight="1" ht="18.75">
      <c r="A726" s="1"/>
      <c r="B726" s="3"/>
    </row>
    <row x14ac:dyDescent="0.25" r="727" customHeight="1" ht="18.75">
      <c r="A727" s="1"/>
      <c r="B727" s="3"/>
    </row>
    <row x14ac:dyDescent="0.25" r="728" customHeight="1" ht="18.75">
      <c r="A728" s="1"/>
      <c r="B728" s="3"/>
    </row>
    <row x14ac:dyDescent="0.25" r="729" customHeight="1" ht="18.75">
      <c r="A729" s="1"/>
      <c r="B729" s="3"/>
    </row>
    <row x14ac:dyDescent="0.25" r="730" customHeight="1" ht="18.75">
      <c r="A730" s="1"/>
      <c r="B730" s="3"/>
    </row>
    <row x14ac:dyDescent="0.25" r="731" customHeight="1" ht="18.75">
      <c r="A731" s="1"/>
      <c r="B731" s="3"/>
    </row>
    <row x14ac:dyDescent="0.25" r="732" customHeight="1" ht="18.75">
      <c r="A732" s="1"/>
      <c r="B732" s="3"/>
    </row>
    <row x14ac:dyDescent="0.25" r="733" customHeight="1" ht="18.75">
      <c r="A733" s="1"/>
      <c r="B733" s="3"/>
    </row>
    <row x14ac:dyDescent="0.25" r="734" customHeight="1" ht="18.75">
      <c r="A734" s="1"/>
      <c r="B734" s="3"/>
    </row>
    <row x14ac:dyDescent="0.25" r="735" customHeight="1" ht="18.75">
      <c r="A735" s="1"/>
      <c r="B735" s="3"/>
    </row>
    <row x14ac:dyDescent="0.25" r="736" customHeight="1" ht="18.75">
      <c r="A736" s="1"/>
      <c r="B736" s="3"/>
    </row>
    <row x14ac:dyDescent="0.25" r="737" customHeight="1" ht="18.75">
      <c r="A737" s="1"/>
      <c r="B737" s="3"/>
    </row>
    <row x14ac:dyDescent="0.25" r="738" customHeight="1" ht="18.75">
      <c r="A738" s="1"/>
      <c r="B738" s="3"/>
    </row>
    <row x14ac:dyDescent="0.25" r="739" customHeight="1" ht="18.75">
      <c r="A739" s="1"/>
      <c r="B739" s="3"/>
    </row>
    <row x14ac:dyDescent="0.25" r="740" customHeight="1" ht="18.75">
      <c r="A740" s="1"/>
      <c r="B740" s="3"/>
    </row>
    <row x14ac:dyDescent="0.25" r="741" customHeight="1" ht="18.75">
      <c r="A741" s="1"/>
      <c r="B741" s="3"/>
    </row>
    <row x14ac:dyDescent="0.25" r="742" customHeight="1" ht="18.75">
      <c r="A742" s="1"/>
      <c r="B742" s="1"/>
    </row>
    <row x14ac:dyDescent="0.25" r="743" customHeight="1" ht="18.75">
      <c r="A743" s="1"/>
      <c r="B743" s="3"/>
    </row>
    <row x14ac:dyDescent="0.25" r="744" customHeight="1" ht="18.75">
      <c r="A744" s="1"/>
      <c r="B744" s="3"/>
    </row>
    <row x14ac:dyDescent="0.25" r="745" customHeight="1" ht="18.75">
      <c r="A745" s="1"/>
      <c r="B745" s="3"/>
    </row>
    <row x14ac:dyDescent="0.25" r="746" customHeight="1" ht="18.75">
      <c r="A746" s="1"/>
      <c r="B746" s="3"/>
    </row>
    <row x14ac:dyDescent="0.25" r="747" customHeight="1" ht="18.75">
      <c r="A747" s="1"/>
      <c r="B747" s="3"/>
    </row>
    <row x14ac:dyDescent="0.25" r="748" customHeight="1" ht="18.75">
      <c r="A748" s="1"/>
      <c r="B748" s="3"/>
    </row>
    <row x14ac:dyDescent="0.25" r="749" customHeight="1" ht="18.75">
      <c r="A749" s="1"/>
      <c r="B749" s="3"/>
    </row>
    <row x14ac:dyDescent="0.25" r="750" customHeight="1" ht="18.75">
      <c r="A750" s="1"/>
      <c r="B750" s="3"/>
    </row>
    <row x14ac:dyDescent="0.25" r="751" customHeight="1" ht="18.75">
      <c r="A751" s="1"/>
      <c r="B751" s="3"/>
    </row>
    <row x14ac:dyDescent="0.25" r="752" customHeight="1" ht="18.75">
      <c r="A752" s="1"/>
      <c r="B752" s="3"/>
    </row>
    <row x14ac:dyDescent="0.25" r="753" customHeight="1" ht="18.75">
      <c r="A753" s="1"/>
      <c r="B753" s="3"/>
    </row>
    <row x14ac:dyDescent="0.25" r="754" customHeight="1" ht="18.75">
      <c r="A754" s="1"/>
      <c r="B754" s="3"/>
    </row>
    <row x14ac:dyDescent="0.25" r="755" customHeight="1" ht="18.75">
      <c r="A755" s="1"/>
      <c r="B755" s="1"/>
    </row>
    <row x14ac:dyDescent="0.25" r="756" customHeight="1" ht="18.75">
      <c r="A756" s="1"/>
      <c r="B756" s="3"/>
    </row>
    <row x14ac:dyDescent="0.25" r="757" customHeight="1" ht="18.75">
      <c r="A757" s="1"/>
      <c r="B757" s="1"/>
    </row>
    <row x14ac:dyDescent="0.25" r="758" customHeight="1" ht="18.75">
      <c r="A758" s="1"/>
      <c r="B758" s="3"/>
    </row>
    <row x14ac:dyDescent="0.25" r="759" customHeight="1" ht="18.75">
      <c r="A759" s="1"/>
      <c r="B759" s="3"/>
    </row>
    <row x14ac:dyDescent="0.25" r="760" customHeight="1" ht="18.75">
      <c r="A760" s="1"/>
      <c r="B760" s="3"/>
    </row>
    <row x14ac:dyDescent="0.25" r="761" customHeight="1" ht="18.75">
      <c r="A761" s="1"/>
      <c r="B761" s="1"/>
    </row>
    <row x14ac:dyDescent="0.25" r="762" customHeight="1" ht="18.75">
      <c r="A762" s="1"/>
      <c r="B762" s="3"/>
    </row>
    <row x14ac:dyDescent="0.25" r="763" customHeight="1" ht="18.75">
      <c r="A763" s="1"/>
      <c r="B763" s="3"/>
    </row>
    <row x14ac:dyDescent="0.25" r="764" customHeight="1" ht="18.75">
      <c r="A764" s="1"/>
      <c r="B764" s="3"/>
    </row>
    <row x14ac:dyDescent="0.25" r="765" customHeight="1" ht="18.75">
      <c r="A765" s="1"/>
      <c r="B765" s="3"/>
    </row>
    <row x14ac:dyDescent="0.25" r="766" customHeight="1" ht="18.75">
      <c r="A766" s="1"/>
      <c r="B766" s="3"/>
    </row>
    <row x14ac:dyDescent="0.25" r="767" customHeight="1" ht="18.75">
      <c r="A767" s="1"/>
      <c r="B767" s="3"/>
    </row>
    <row x14ac:dyDescent="0.25" r="768" customHeight="1" ht="18.75">
      <c r="A768" s="1"/>
      <c r="B768" s="3"/>
    </row>
    <row x14ac:dyDescent="0.25" r="769" customHeight="1" ht="18.75">
      <c r="A769" s="1"/>
      <c r="B769" s="3"/>
    </row>
    <row x14ac:dyDescent="0.25" r="770" customHeight="1" ht="18.75">
      <c r="A770" s="1"/>
      <c r="B770" s="3"/>
    </row>
    <row x14ac:dyDescent="0.25" r="771" customHeight="1" ht="18.75">
      <c r="A771" s="1"/>
      <c r="B771" s="3"/>
    </row>
    <row x14ac:dyDescent="0.25" r="772" customHeight="1" ht="18.75">
      <c r="A772" s="1"/>
      <c r="B772" s="3"/>
    </row>
    <row x14ac:dyDescent="0.25" r="773" customHeight="1" ht="18.75">
      <c r="A773" s="1"/>
      <c r="B773" s="3"/>
    </row>
    <row x14ac:dyDescent="0.25" r="774" customHeight="1" ht="18.75">
      <c r="A774" s="1"/>
      <c r="B774" s="3"/>
    </row>
    <row x14ac:dyDescent="0.25" r="775" customHeight="1" ht="18.75">
      <c r="A775" s="1"/>
      <c r="B775" s="3"/>
    </row>
    <row x14ac:dyDescent="0.25" r="776" customHeight="1" ht="18.75">
      <c r="A776" s="1"/>
      <c r="B776" s="3"/>
    </row>
    <row x14ac:dyDescent="0.25" r="777" customHeight="1" ht="18.75">
      <c r="A777" s="1"/>
      <c r="B777" s="1"/>
    </row>
    <row x14ac:dyDescent="0.25" r="778" customHeight="1" ht="18.75">
      <c r="A778" s="1"/>
      <c r="B778" s="3"/>
    </row>
    <row x14ac:dyDescent="0.25" r="779" customHeight="1" ht="18.75">
      <c r="A779" s="1"/>
      <c r="B779" s="3"/>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7</vt:i4>
      </vt:variant>
    </vt:vector>
  </HeadingPairs>
  <TitlesOfParts>
    <vt:vector baseType="lpstr" size="7">
      <vt:lpstr>Vulnerabilities</vt:lpstr>
      <vt:lpstr>ODC-PivotTable</vt:lpstr>
      <vt:lpstr>Definitions</vt:lpstr>
      <vt:lpstr>patch_files_info</vt:lpstr>
      <vt:lpstr>patch_files_info_pt</vt:lpstr>
      <vt:lpstr>commit_num_files</vt:lpstr>
      <vt:lpstr>cve_title</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2026-02-12T17:21:55.319Z</dcterms:created>
  <dcterms:modified xsi:type="dcterms:W3CDTF">2026-02-12T17:21:55.319Z</dcterms:modified>
</cp:coreProperties>
</file>